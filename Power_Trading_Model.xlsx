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hanu\OneDrive\Desktop\power trading projects\"/>
    </mc:Choice>
  </mc:AlternateContent>
  <xr:revisionPtr revIDLastSave="0" documentId="13_ncr:1_{750F6662-FB0F-47C8-84A0-348DEC25C581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05_Executive_Dashboard" sheetId="1" r:id="rId1"/>
    <sheet name="01_Daily_Market_Data" sheetId="2" r:id="rId2"/>
    <sheet name="02_Trading_Ledger" sheetId="3" r:id="rId3"/>
    <sheet name="03_Financial_MIS" sheetId="4" r:id="rId4"/>
    <sheet name="04_Working_Capit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5" l="1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G2" i="5" s="1"/>
  <c r="H2" i="5" s="1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C5" i="4"/>
  <c r="F34" i="1" s="1"/>
  <c r="C4" i="4"/>
  <c r="G61" i="3"/>
  <c r="B61" i="3"/>
  <c r="G60" i="3"/>
  <c r="B60" i="3"/>
  <c r="G59" i="3"/>
  <c r="B59" i="3"/>
  <c r="G58" i="3"/>
  <c r="B58" i="3"/>
  <c r="G57" i="3"/>
  <c r="B57" i="3"/>
  <c r="G56" i="3"/>
  <c r="B56" i="3"/>
  <c r="G55" i="3"/>
  <c r="B55" i="3"/>
  <c r="G54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F32" i="2"/>
  <c r="E32" i="2"/>
  <c r="C32" i="2"/>
  <c r="B32" i="2"/>
  <c r="G31" i="2"/>
  <c r="H31" i="2" s="1"/>
  <c r="I31" i="2" s="1"/>
  <c r="D31" i="2"/>
  <c r="G31" i="3" s="1"/>
  <c r="G30" i="2"/>
  <c r="H30" i="2" s="1"/>
  <c r="I30" i="2" s="1"/>
  <c r="D30" i="2"/>
  <c r="G30" i="3" s="1"/>
  <c r="G29" i="2"/>
  <c r="H29" i="2" s="1"/>
  <c r="I29" i="2" s="1"/>
  <c r="D29" i="2"/>
  <c r="G29" i="3" s="1"/>
  <c r="G28" i="2"/>
  <c r="H28" i="2" s="1"/>
  <c r="I28" i="2" s="1"/>
  <c r="D28" i="2"/>
  <c r="G28" i="3" s="1"/>
  <c r="G27" i="2"/>
  <c r="H27" i="2" s="1"/>
  <c r="I27" i="2" s="1"/>
  <c r="D27" i="2"/>
  <c r="G27" i="3" s="1"/>
  <c r="G26" i="2"/>
  <c r="H26" i="2" s="1"/>
  <c r="I26" i="2" s="1"/>
  <c r="D26" i="2"/>
  <c r="G26" i="3" s="1"/>
  <c r="G25" i="2"/>
  <c r="H25" i="2" s="1"/>
  <c r="I25" i="2" s="1"/>
  <c r="D25" i="2"/>
  <c r="G25" i="3" s="1"/>
  <c r="G24" i="2"/>
  <c r="H24" i="2" s="1"/>
  <c r="I24" i="2" s="1"/>
  <c r="D24" i="2"/>
  <c r="G24" i="3" s="1"/>
  <c r="G23" i="2"/>
  <c r="D23" i="2"/>
  <c r="G23" i="3" s="1"/>
  <c r="G22" i="2"/>
  <c r="D22" i="2"/>
  <c r="G22" i="3" s="1"/>
  <c r="G21" i="2"/>
  <c r="D21" i="2"/>
  <c r="G21" i="3" s="1"/>
  <c r="G20" i="2"/>
  <c r="D20" i="2"/>
  <c r="G20" i="3" s="1"/>
  <c r="G19" i="2"/>
  <c r="D19" i="2"/>
  <c r="G19" i="3" s="1"/>
  <c r="G18" i="2"/>
  <c r="D18" i="2"/>
  <c r="G18" i="3" s="1"/>
  <c r="G17" i="2"/>
  <c r="D17" i="2"/>
  <c r="G17" i="3" s="1"/>
  <c r="G16" i="2"/>
  <c r="D16" i="2"/>
  <c r="G16" i="3" s="1"/>
  <c r="G15" i="2"/>
  <c r="D15" i="2"/>
  <c r="G15" i="3" s="1"/>
  <c r="G14" i="2"/>
  <c r="D14" i="2"/>
  <c r="G14" i="3" s="1"/>
  <c r="G13" i="2"/>
  <c r="D13" i="2"/>
  <c r="G13" i="3" s="1"/>
  <c r="G12" i="2"/>
  <c r="D12" i="2"/>
  <c r="G12" i="3" s="1"/>
  <c r="G11" i="2"/>
  <c r="D11" i="2"/>
  <c r="G11" i="3" s="1"/>
  <c r="G10" i="2"/>
  <c r="D10" i="2"/>
  <c r="G10" i="3" s="1"/>
  <c r="G9" i="2"/>
  <c r="D9" i="2"/>
  <c r="G9" i="3" s="1"/>
  <c r="G8" i="2"/>
  <c r="D8" i="2"/>
  <c r="G8" i="3" s="1"/>
  <c r="G7" i="2"/>
  <c r="D7" i="2"/>
  <c r="G7" i="3" s="1"/>
  <c r="G6" i="2"/>
  <c r="D6" i="2"/>
  <c r="G6" i="3" s="1"/>
  <c r="G5" i="2"/>
  <c r="D5" i="2"/>
  <c r="G5" i="3" s="1"/>
  <c r="G4" i="2"/>
  <c r="D4" i="2"/>
  <c r="G4" i="3" s="1"/>
  <c r="G3" i="2"/>
  <c r="D3" i="2"/>
  <c r="G3" i="3" s="1"/>
  <c r="G2" i="2"/>
  <c r="D2" i="2"/>
  <c r="I2" i="5" l="1"/>
  <c r="C6" i="4"/>
  <c r="F33" i="1"/>
  <c r="J61" i="3"/>
  <c r="L61" i="3" s="1"/>
  <c r="K61" i="3"/>
  <c r="J60" i="3"/>
  <c r="L60" i="3" s="1"/>
  <c r="K60" i="3"/>
  <c r="J59" i="3"/>
  <c r="L59" i="3" s="1"/>
  <c r="K59" i="3"/>
  <c r="K58" i="3"/>
  <c r="J58" i="3"/>
  <c r="L58" i="3" s="1"/>
  <c r="J57" i="3"/>
  <c r="L57" i="3" s="1"/>
  <c r="K57" i="3"/>
  <c r="J56" i="3"/>
  <c r="L56" i="3" s="1"/>
  <c r="K56" i="3"/>
  <c r="K55" i="3"/>
  <c r="J55" i="3"/>
  <c r="L55" i="3" s="1"/>
  <c r="J54" i="3"/>
  <c r="L54" i="3" s="1"/>
  <c r="K54" i="3"/>
  <c r="J31" i="3"/>
  <c r="L31" i="3" s="1"/>
  <c r="M31" i="3" s="1"/>
  <c r="K31" i="3"/>
  <c r="C32" i="5" s="1"/>
  <c r="J30" i="3"/>
  <c r="L30" i="3" s="1"/>
  <c r="K30" i="3"/>
  <c r="J29" i="3"/>
  <c r="L29" i="3" s="1"/>
  <c r="K29" i="3"/>
  <c r="C30" i="5" s="1"/>
  <c r="J28" i="3"/>
  <c r="L28" i="3" s="1"/>
  <c r="K28" i="3"/>
  <c r="C29" i="5" s="1"/>
  <c r="J27" i="3"/>
  <c r="L27" i="3" s="1"/>
  <c r="K27" i="3"/>
  <c r="C28" i="5" s="1"/>
  <c r="J26" i="3"/>
  <c r="L26" i="3" s="1"/>
  <c r="K26" i="3"/>
  <c r="C27" i="5" s="1"/>
  <c r="J25" i="3"/>
  <c r="L25" i="3" s="1"/>
  <c r="M25" i="3" s="1"/>
  <c r="K25" i="3"/>
  <c r="C26" i="5" s="1"/>
  <c r="J24" i="3"/>
  <c r="L24" i="3" s="1"/>
  <c r="M24" i="3" s="1"/>
  <c r="K24" i="3"/>
  <c r="C25" i="5" s="1"/>
  <c r="G53" i="3"/>
  <c r="H23" i="2"/>
  <c r="I23" i="2" s="1"/>
  <c r="J23" i="3"/>
  <c r="L23" i="3" s="1"/>
  <c r="M23" i="3" s="1"/>
  <c r="K23" i="3"/>
  <c r="G52" i="3"/>
  <c r="H22" i="2"/>
  <c r="I22" i="2" s="1"/>
  <c r="J22" i="3"/>
  <c r="L22" i="3" s="1"/>
  <c r="K22" i="3"/>
  <c r="G51" i="3"/>
  <c r="H21" i="2"/>
  <c r="I21" i="2" s="1"/>
  <c r="J21" i="3"/>
  <c r="L21" i="3" s="1"/>
  <c r="K21" i="3"/>
  <c r="G50" i="3"/>
  <c r="H20" i="2"/>
  <c r="I20" i="2" s="1"/>
  <c r="J20" i="3"/>
  <c r="L20" i="3" s="1"/>
  <c r="M20" i="3" s="1"/>
  <c r="K20" i="3"/>
  <c r="G49" i="3"/>
  <c r="H19" i="2"/>
  <c r="I19" i="2" s="1"/>
  <c r="J19" i="3"/>
  <c r="L19" i="3" s="1"/>
  <c r="M19" i="3" s="1"/>
  <c r="K19" i="3"/>
  <c r="G48" i="3"/>
  <c r="H18" i="2"/>
  <c r="I18" i="2" s="1"/>
  <c r="J18" i="3"/>
  <c r="L18" i="3" s="1"/>
  <c r="M18" i="3" s="1"/>
  <c r="K18" i="3"/>
  <c r="G47" i="3"/>
  <c r="H17" i="2"/>
  <c r="I17" i="2" s="1"/>
  <c r="J17" i="3"/>
  <c r="L17" i="3" s="1"/>
  <c r="K17" i="3"/>
  <c r="H16" i="2"/>
  <c r="I16" i="2" s="1"/>
  <c r="G46" i="3"/>
  <c r="J16" i="3"/>
  <c r="L16" i="3" s="1"/>
  <c r="K16" i="3"/>
  <c r="H15" i="2"/>
  <c r="I15" i="2" s="1"/>
  <c r="G45" i="3"/>
  <c r="J15" i="3"/>
  <c r="L15" i="3" s="1"/>
  <c r="K15" i="3"/>
  <c r="H14" i="2"/>
  <c r="I14" i="2" s="1"/>
  <c r="G44" i="3"/>
  <c r="J14" i="3"/>
  <c r="L14" i="3" s="1"/>
  <c r="K14" i="3"/>
  <c r="H13" i="2"/>
  <c r="I13" i="2" s="1"/>
  <c r="G43" i="3"/>
  <c r="J13" i="3"/>
  <c r="L13" i="3" s="1"/>
  <c r="K13" i="3"/>
  <c r="G42" i="3"/>
  <c r="H12" i="2"/>
  <c r="I12" i="2" s="1"/>
  <c r="J12" i="3"/>
  <c r="L12" i="3" s="1"/>
  <c r="K12" i="3"/>
  <c r="G41" i="3"/>
  <c r="H11" i="2"/>
  <c r="I11" i="2" s="1"/>
  <c r="J11" i="3"/>
  <c r="L11" i="3" s="1"/>
  <c r="K11" i="3"/>
  <c r="H10" i="2"/>
  <c r="I10" i="2" s="1"/>
  <c r="G40" i="3"/>
  <c r="J10" i="3"/>
  <c r="L10" i="3" s="1"/>
  <c r="K10" i="3"/>
  <c r="G39" i="3"/>
  <c r="H9" i="2"/>
  <c r="I9" i="2" s="1"/>
  <c r="J9" i="3"/>
  <c r="L9" i="3" s="1"/>
  <c r="K9" i="3"/>
  <c r="G38" i="3"/>
  <c r="H8" i="2"/>
  <c r="I8" i="2" s="1"/>
  <c r="J8" i="3"/>
  <c r="L8" i="3" s="1"/>
  <c r="K8" i="3"/>
  <c r="G37" i="3"/>
  <c r="H7" i="2"/>
  <c r="I7" i="2" s="1"/>
  <c r="J7" i="3"/>
  <c r="L7" i="3" s="1"/>
  <c r="K7" i="3"/>
  <c r="G36" i="3"/>
  <c r="H6" i="2"/>
  <c r="I6" i="2" s="1"/>
  <c r="J6" i="3"/>
  <c r="L6" i="3" s="1"/>
  <c r="K6" i="3"/>
  <c r="H5" i="2"/>
  <c r="I5" i="2" s="1"/>
  <c r="G35" i="3"/>
  <c r="J5" i="3"/>
  <c r="L5" i="3" s="1"/>
  <c r="K5" i="3"/>
  <c r="H4" i="2"/>
  <c r="I4" i="2" s="1"/>
  <c r="G34" i="3"/>
  <c r="J4" i="3"/>
  <c r="L4" i="3" s="1"/>
  <c r="K4" i="3"/>
  <c r="H3" i="2"/>
  <c r="I3" i="2" s="1"/>
  <c r="G33" i="3"/>
  <c r="J3" i="3"/>
  <c r="L3" i="3" s="1"/>
  <c r="K3" i="3"/>
  <c r="G32" i="2"/>
  <c r="G32" i="3"/>
  <c r="H2" i="2"/>
  <c r="G2" i="3"/>
  <c r="D32" i="2"/>
  <c r="C12" i="4" s="1"/>
  <c r="D12" i="4" s="1"/>
  <c r="E12" i="4" s="1"/>
  <c r="C11" i="4" l="1"/>
  <c r="D11" i="4" s="1"/>
  <c r="E11" i="4" s="1"/>
  <c r="B6" i="1"/>
  <c r="F35" i="1"/>
  <c r="M61" i="3"/>
  <c r="D46" i="5"/>
  <c r="F46" i="5" s="1"/>
  <c r="G46" i="5" s="1"/>
  <c r="M60" i="3"/>
  <c r="D45" i="5"/>
  <c r="F45" i="5" s="1"/>
  <c r="G45" i="5" s="1"/>
  <c r="M59" i="3"/>
  <c r="D44" i="5"/>
  <c r="F44" i="5" s="1"/>
  <c r="G44" i="5" s="1"/>
  <c r="M58" i="3"/>
  <c r="D43" i="5"/>
  <c r="F43" i="5" s="1"/>
  <c r="G43" i="5" s="1"/>
  <c r="M57" i="3"/>
  <c r="D42" i="5"/>
  <c r="F42" i="5" s="1"/>
  <c r="G42" i="5" s="1"/>
  <c r="M56" i="3"/>
  <c r="D41" i="5"/>
  <c r="F41" i="5" s="1"/>
  <c r="G41" i="5" s="1"/>
  <c r="M55" i="3"/>
  <c r="D40" i="5"/>
  <c r="F40" i="5" s="1"/>
  <c r="G40" i="5" s="1"/>
  <c r="M54" i="3"/>
  <c r="D39" i="5"/>
  <c r="F39" i="5" s="1"/>
  <c r="G39" i="5" s="1"/>
  <c r="J53" i="3"/>
  <c r="L53" i="3" s="1"/>
  <c r="K53" i="3"/>
  <c r="C24" i="5" s="1"/>
  <c r="J52" i="3"/>
  <c r="L52" i="3" s="1"/>
  <c r="K52" i="3"/>
  <c r="C23" i="5" s="1"/>
  <c r="J51" i="3"/>
  <c r="L51" i="3" s="1"/>
  <c r="K51" i="3"/>
  <c r="C22" i="5" s="1"/>
  <c r="J50" i="3"/>
  <c r="L50" i="3" s="1"/>
  <c r="K50" i="3"/>
  <c r="C21" i="5" s="1"/>
  <c r="J49" i="3"/>
  <c r="L49" i="3" s="1"/>
  <c r="K49" i="3"/>
  <c r="C20" i="5" s="1"/>
  <c r="J48" i="3"/>
  <c r="L48" i="3" s="1"/>
  <c r="K48" i="3"/>
  <c r="C19" i="5" s="1"/>
  <c r="J47" i="3"/>
  <c r="L47" i="3" s="1"/>
  <c r="K47" i="3"/>
  <c r="C18" i="5" s="1"/>
  <c r="J46" i="3"/>
  <c r="L46" i="3" s="1"/>
  <c r="K46" i="3"/>
  <c r="C17" i="5" s="1"/>
  <c r="M16" i="3"/>
  <c r="E61" i="5"/>
  <c r="F61" i="5" s="1"/>
  <c r="G61" i="5" s="1"/>
  <c r="J45" i="3"/>
  <c r="L45" i="3" s="1"/>
  <c r="K45" i="3"/>
  <c r="C16" i="5" s="1"/>
  <c r="G16" i="5" s="1"/>
  <c r="M15" i="3"/>
  <c r="E60" i="5"/>
  <c r="F60" i="5" s="1"/>
  <c r="G60" i="5" s="1"/>
  <c r="J44" i="3"/>
  <c r="L44" i="3" s="1"/>
  <c r="K44" i="3"/>
  <c r="C15" i="5" s="1"/>
  <c r="G15" i="5" s="1"/>
  <c r="M14" i="3"/>
  <c r="E59" i="5"/>
  <c r="F59" i="5" s="1"/>
  <c r="G59" i="5" s="1"/>
  <c r="J43" i="3"/>
  <c r="L43" i="3" s="1"/>
  <c r="K43" i="3"/>
  <c r="C14" i="5" s="1"/>
  <c r="G14" i="5" s="1"/>
  <c r="M13" i="3"/>
  <c r="E58" i="5"/>
  <c r="F58" i="5" s="1"/>
  <c r="G58" i="5" s="1"/>
  <c r="J42" i="3"/>
  <c r="L42" i="3" s="1"/>
  <c r="K42" i="3"/>
  <c r="C13" i="5" s="1"/>
  <c r="G13" i="5" s="1"/>
  <c r="M12" i="3"/>
  <c r="E57" i="5"/>
  <c r="F57" i="5" s="1"/>
  <c r="G57" i="5" s="1"/>
  <c r="J41" i="3"/>
  <c r="L41" i="3" s="1"/>
  <c r="K41" i="3"/>
  <c r="C12" i="5" s="1"/>
  <c r="G12" i="5" s="1"/>
  <c r="M11" i="3"/>
  <c r="E56" i="5"/>
  <c r="F56" i="5" s="1"/>
  <c r="G56" i="5" s="1"/>
  <c r="J40" i="3"/>
  <c r="L40" i="3" s="1"/>
  <c r="K40" i="3"/>
  <c r="C11" i="5" s="1"/>
  <c r="G11" i="5" s="1"/>
  <c r="M10" i="3"/>
  <c r="E55" i="5"/>
  <c r="F55" i="5" s="1"/>
  <c r="G55" i="5" s="1"/>
  <c r="J39" i="3"/>
  <c r="L39" i="3" s="1"/>
  <c r="K39" i="3"/>
  <c r="C10" i="5" s="1"/>
  <c r="G10" i="5" s="1"/>
  <c r="M9" i="3"/>
  <c r="E54" i="5"/>
  <c r="F54" i="5" s="1"/>
  <c r="G54" i="5" s="1"/>
  <c r="J38" i="3"/>
  <c r="L38" i="3" s="1"/>
  <c r="K38" i="3"/>
  <c r="C9" i="5" s="1"/>
  <c r="G9" i="5" s="1"/>
  <c r="M8" i="3"/>
  <c r="E53" i="5"/>
  <c r="F53" i="5" s="1"/>
  <c r="G53" i="5" s="1"/>
  <c r="J37" i="3"/>
  <c r="L37" i="3" s="1"/>
  <c r="K37" i="3"/>
  <c r="C8" i="5" s="1"/>
  <c r="G8" i="5" s="1"/>
  <c r="M7" i="3"/>
  <c r="E52" i="5"/>
  <c r="F52" i="5" s="1"/>
  <c r="G52" i="5" s="1"/>
  <c r="J36" i="3"/>
  <c r="L36" i="3" s="1"/>
  <c r="K36" i="3"/>
  <c r="C7" i="5" s="1"/>
  <c r="G7" i="5" s="1"/>
  <c r="M6" i="3"/>
  <c r="E51" i="5"/>
  <c r="F51" i="5" s="1"/>
  <c r="G51" i="5" s="1"/>
  <c r="J35" i="3"/>
  <c r="L35" i="3" s="1"/>
  <c r="K35" i="3"/>
  <c r="C6" i="5" s="1"/>
  <c r="G6" i="5" s="1"/>
  <c r="M5" i="3"/>
  <c r="E50" i="5"/>
  <c r="F50" i="5" s="1"/>
  <c r="G50" i="5" s="1"/>
  <c r="J34" i="3"/>
  <c r="L34" i="3" s="1"/>
  <c r="K34" i="3"/>
  <c r="C5" i="5" s="1"/>
  <c r="G5" i="5" s="1"/>
  <c r="M4" i="3"/>
  <c r="E49" i="5"/>
  <c r="F49" i="5" s="1"/>
  <c r="G49" i="5" s="1"/>
  <c r="J33" i="3"/>
  <c r="L33" i="3" s="1"/>
  <c r="K33" i="3"/>
  <c r="C4" i="5" s="1"/>
  <c r="G4" i="5" s="1"/>
  <c r="M3" i="3"/>
  <c r="E48" i="5"/>
  <c r="F48" i="5" s="1"/>
  <c r="G48" i="5" s="1"/>
  <c r="J32" i="3"/>
  <c r="L32" i="3" s="1"/>
  <c r="K32" i="3"/>
  <c r="E5" i="4" s="1"/>
  <c r="H34" i="1" s="1"/>
  <c r="H32" i="2"/>
  <c r="I2" i="2"/>
  <c r="J2" i="3"/>
  <c r="L2" i="3" s="1"/>
  <c r="K2" i="3"/>
  <c r="M22" i="3"/>
  <c r="M21" i="3"/>
  <c r="M30" i="3"/>
  <c r="C31" i="5"/>
  <c r="M29" i="3"/>
  <c r="M28" i="3"/>
  <c r="M27" i="3"/>
  <c r="M26" i="3"/>
  <c r="M17" i="3"/>
  <c r="D38" i="5" l="1"/>
  <c r="F38" i="5" s="1"/>
  <c r="G38" i="5" s="1"/>
  <c r="M53" i="3"/>
  <c r="M52" i="3"/>
  <c r="D37" i="5"/>
  <c r="F37" i="5" s="1"/>
  <c r="G37" i="5" s="1"/>
  <c r="M51" i="3"/>
  <c r="D36" i="5"/>
  <c r="F36" i="5" s="1"/>
  <c r="G36" i="5" s="1"/>
  <c r="M50" i="3"/>
  <c r="D35" i="5"/>
  <c r="F35" i="5" s="1"/>
  <c r="G35" i="5" s="1"/>
  <c r="M49" i="3"/>
  <c r="D34" i="5"/>
  <c r="F34" i="5" s="1"/>
  <c r="G34" i="5" s="1"/>
  <c r="M48" i="3"/>
  <c r="D33" i="5"/>
  <c r="F33" i="5" s="1"/>
  <c r="G33" i="5" s="1"/>
  <c r="M47" i="3"/>
  <c r="D32" i="5"/>
  <c r="F32" i="5" s="1"/>
  <c r="G32" i="5" s="1"/>
  <c r="M46" i="3"/>
  <c r="D31" i="5"/>
  <c r="F31" i="5" s="1"/>
  <c r="G31" i="5" s="1"/>
  <c r="M45" i="3"/>
  <c r="D30" i="5"/>
  <c r="F30" i="5" s="1"/>
  <c r="G30" i="5" s="1"/>
  <c r="M44" i="3"/>
  <c r="D29" i="5"/>
  <c r="F29" i="5" s="1"/>
  <c r="G29" i="5" s="1"/>
  <c r="M43" i="3"/>
  <c r="D28" i="5"/>
  <c r="F28" i="5" s="1"/>
  <c r="G28" i="5" s="1"/>
  <c r="M42" i="3"/>
  <c r="D27" i="5"/>
  <c r="F27" i="5" s="1"/>
  <c r="G27" i="5" s="1"/>
  <c r="M41" i="3"/>
  <c r="D26" i="5"/>
  <c r="F26" i="5" s="1"/>
  <c r="G26" i="5" s="1"/>
  <c r="M40" i="3"/>
  <c r="D25" i="5"/>
  <c r="F25" i="5" s="1"/>
  <c r="G25" i="5" s="1"/>
  <c r="M39" i="3"/>
  <c r="D24" i="5"/>
  <c r="F24" i="5" s="1"/>
  <c r="G24" i="5" s="1"/>
  <c r="M38" i="3"/>
  <c r="D23" i="5"/>
  <c r="F23" i="5" s="1"/>
  <c r="G23" i="5" s="1"/>
  <c r="M37" i="3"/>
  <c r="D22" i="5"/>
  <c r="F22" i="5" s="1"/>
  <c r="G22" i="5" s="1"/>
  <c r="M36" i="3"/>
  <c r="D21" i="5"/>
  <c r="F21" i="5" s="1"/>
  <c r="G21" i="5" s="1"/>
  <c r="M35" i="3"/>
  <c r="D20" i="5"/>
  <c r="F20" i="5" s="1"/>
  <c r="G20" i="5" s="1"/>
  <c r="M34" i="3"/>
  <c r="D19" i="5"/>
  <c r="F19" i="5" s="1"/>
  <c r="G19" i="5" s="1"/>
  <c r="M33" i="3"/>
  <c r="D18" i="5"/>
  <c r="F18" i="5" s="1"/>
  <c r="G18" i="5" s="1"/>
  <c r="M32" i="3"/>
  <c r="D17" i="5"/>
  <c r="F17" i="5" s="1"/>
  <c r="G17" i="5" s="1"/>
  <c r="D5" i="4"/>
  <c r="G34" i="1" s="1"/>
  <c r="M2" i="3"/>
  <c r="F4" i="4" s="1"/>
  <c r="D4" i="4"/>
  <c r="E47" i="5"/>
  <c r="F47" i="5" s="1"/>
  <c r="G47" i="5" s="1"/>
  <c r="C3" i="5"/>
  <c r="G3" i="5" s="1"/>
  <c r="H3" i="5" s="1"/>
  <c r="E4" i="4"/>
  <c r="G4" i="4" l="1"/>
  <c r="J33" i="1" s="1"/>
  <c r="I33" i="1"/>
  <c r="G33" i="1"/>
  <c r="D6" i="4"/>
  <c r="H4" i="5"/>
  <c r="I3" i="5"/>
  <c r="H33" i="1"/>
  <c r="E6" i="4"/>
  <c r="H35" i="1" s="1"/>
  <c r="F5" i="4"/>
  <c r="F6" i="4" s="1"/>
  <c r="H6" i="1" l="1"/>
  <c r="I35" i="1"/>
  <c r="G6" i="4"/>
  <c r="J35" i="1" s="1"/>
  <c r="C14" i="4"/>
  <c r="D14" i="4" s="1"/>
  <c r="E14" i="4" s="1"/>
  <c r="E6" i="1"/>
  <c r="G35" i="1"/>
  <c r="C13" i="4"/>
  <c r="D13" i="4" s="1"/>
  <c r="E13" i="4" s="1"/>
  <c r="I4" i="5"/>
  <c r="H5" i="5"/>
  <c r="I34" i="1"/>
  <c r="G5" i="4"/>
  <c r="J34" i="1" s="1"/>
  <c r="I5" i="5" l="1"/>
  <c r="H6" i="5"/>
  <c r="I6" i="5" l="1"/>
  <c r="H7" i="5"/>
  <c r="H8" i="5" l="1"/>
  <c r="I7" i="5"/>
  <c r="H9" i="5" l="1"/>
  <c r="I8" i="5"/>
  <c r="H10" i="5" l="1"/>
  <c r="I9" i="5"/>
  <c r="I10" i="5" l="1"/>
  <c r="H11" i="5"/>
  <c r="I11" i="5" l="1"/>
  <c r="H12" i="5"/>
  <c r="I12" i="5" l="1"/>
  <c r="H13" i="5"/>
  <c r="I13" i="5" l="1"/>
  <c r="H14" i="5"/>
  <c r="I14" i="5" l="1"/>
  <c r="H15" i="5"/>
  <c r="H16" i="5" l="1"/>
  <c r="I15" i="5"/>
  <c r="I16" i="5" l="1"/>
  <c r="H17" i="5"/>
  <c r="I17" i="5" l="1"/>
  <c r="H18" i="5"/>
  <c r="I18" i="5" l="1"/>
  <c r="H19" i="5"/>
  <c r="I19" i="5" l="1"/>
  <c r="H20" i="5"/>
  <c r="I20" i="5" l="1"/>
  <c r="H21" i="5"/>
  <c r="I21" i="5" l="1"/>
  <c r="H22" i="5"/>
  <c r="I22" i="5" l="1"/>
  <c r="H23" i="5"/>
  <c r="I23" i="5" l="1"/>
  <c r="H24" i="5"/>
  <c r="I24" i="5" l="1"/>
  <c r="H25" i="5"/>
  <c r="H26" i="5" l="1"/>
  <c r="I25" i="5"/>
  <c r="I26" i="5" l="1"/>
  <c r="H27" i="5"/>
  <c r="I27" i="5" l="1"/>
  <c r="H28" i="5"/>
  <c r="I28" i="5" l="1"/>
  <c r="H29" i="5"/>
  <c r="H30" i="5" l="1"/>
  <c r="I29" i="5"/>
  <c r="I30" i="5" l="1"/>
  <c r="H31" i="5"/>
  <c r="I31" i="5" l="1"/>
  <c r="H32" i="5"/>
  <c r="I32" i="5" l="1"/>
  <c r="H33" i="5"/>
  <c r="I33" i="5" l="1"/>
  <c r="H34" i="5"/>
  <c r="H35" i="5" l="1"/>
  <c r="I34" i="5"/>
  <c r="H36" i="5" l="1"/>
  <c r="I35" i="5"/>
  <c r="I36" i="5" l="1"/>
  <c r="H37" i="5"/>
  <c r="I37" i="5" l="1"/>
  <c r="H38" i="5"/>
  <c r="I38" i="5" l="1"/>
  <c r="H39" i="5"/>
  <c r="H40" i="5" l="1"/>
  <c r="I39" i="5"/>
  <c r="H41" i="5" l="1"/>
  <c r="I40" i="5"/>
  <c r="H42" i="5" l="1"/>
  <c r="I41" i="5"/>
  <c r="H43" i="5" l="1"/>
  <c r="I42" i="5"/>
  <c r="H44" i="5" l="1"/>
  <c r="I43" i="5"/>
  <c r="H45" i="5" l="1"/>
  <c r="I44" i="5"/>
  <c r="I45" i="5" l="1"/>
  <c r="H46" i="5"/>
  <c r="H47" i="5" l="1"/>
  <c r="I46" i="5"/>
  <c r="I47" i="5" l="1"/>
  <c r="H48" i="5"/>
  <c r="H49" i="5" l="1"/>
  <c r="I48" i="5"/>
  <c r="I49" i="5" l="1"/>
  <c r="H50" i="5"/>
  <c r="I50" i="5" l="1"/>
  <c r="H51" i="5"/>
  <c r="I51" i="5" l="1"/>
  <c r="H52" i="5"/>
  <c r="I52" i="5" l="1"/>
  <c r="H53" i="5"/>
  <c r="I53" i="5" l="1"/>
  <c r="H54" i="5"/>
  <c r="I54" i="5" l="1"/>
  <c r="H55" i="5"/>
  <c r="H56" i="5" l="1"/>
  <c r="I55" i="5"/>
  <c r="I56" i="5" l="1"/>
  <c r="H57" i="5"/>
  <c r="H58" i="5" l="1"/>
  <c r="I57" i="5"/>
  <c r="I58" i="5" l="1"/>
  <c r="H59" i="5"/>
  <c r="I59" i="5" l="1"/>
  <c r="H60" i="5"/>
  <c r="H61" i="5" l="1"/>
  <c r="I60" i="5"/>
  <c r="L3" i="5" l="1"/>
  <c r="I61" i="5"/>
  <c r="L6" i="5" s="1"/>
  <c r="L7" i="5" s="1"/>
  <c r="K6" i="1" l="1"/>
  <c r="L5" i="5"/>
  <c r="L4" i="5"/>
</calcChain>
</file>

<file path=xl/sharedStrings.xml><?xml version="1.0" encoding="utf-8"?>
<sst xmlns="http://schemas.openxmlformats.org/spreadsheetml/2006/main" count="367" uniqueCount="181">
  <si>
    <t>INDIAN POWER MARKET ANALYSIS — DAM vs RTM FINANCIAL MIS &amp; WORKING CAPITAL DASHBOARD</t>
  </si>
  <si>
    <t>TOTAL TRADED VOLUME</t>
  </si>
  <si>
    <t>GROSS INVOICED REVENUE</t>
  </si>
  <si>
    <t>NET TRADING MARGIN</t>
  </si>
  <si>
    <t>PEAK LIQUIDITY DEFICIT</t>
  </si>
  <si>
    <t>DAM: 15.00 MUs | RTM: 4.50 MUs</t>
  </si>
  <si>
    <t>Wholesale Cost: ₹14.14 Cr</t>
  </si>
  <si>
    <t>Realized: 4.69 paise/kWh</t>
  </si>
  <si>
    <t>Financing Drag: ₹12.59 Lakhs</t>
  </si>
  <si>
    <t>PORTFOLIO FINANCIAL PERFORMANCE &amp; TREASURY RISK AUDIT</t>
  </si>
  <si>
    <t>Segment</t>
  </si>
  <si>
    <t>Client</t>
  </si>
  <si>
    <t>Volume (MUs)</t>
  </si>
  <si>
    <t>Revenue (₹ Cr)</t>
  </si>
  <si>
    <t>Power Cost (₹ Cr)</t>
  </si>
  <si>
    <t>Net Margin (₹ Lk)</t>
  </si>
  <si>
    <t>Realized Margin</t>
  </si>
  <si>
    <t>Settlement Cycle</t>
  </si>
  <si>
    <t>Treasury Working Capital Risk</t>
  </si>
  <si>
    <t>DAM</t>
  </si>
  <si>
    <t>UPPCL (State DISCOM)</t>
  </si>
  <si>
    <t>T+45 Days</t>
  </si>
  <si>
    <t>High Deficit Drag (Requires Bank LC Discounting)</t>
  </si>
  <si>
    <t>RTM</t>
  </si>
  <si>
    <t>Tata Steel (Industrial C&amp;I)</t>
  </si>
  <si>
    <t>T+15 Days</t>
  </si>
  <si>
    <t>Low Liquidity Drag (High Margin Contribution)</t>
  </si>
  <si>
    <t>Total</t>
  </si>
  <si>
    <t>Combined Portfolio</t>
  </si>
  <si>
    <t>Weighted</t>
  </si>
  <si>
    <t>Net Deficit: -₹3.44 L after 9% Financing Cost</t>
  </si>
  <si>
    <t>Delivery Date</t>
  </si>
  <si>
    <t>DAM Cleared Vol (MWh)</t>
  </si>
  <si>
    <t>DAM MCP (₹/MWh)</t>
  </si>
  <si>
    <t>DAM Price (₹/kWh)</t>
  </si>
  <si>
    <t>RTM Cleared Vol (MWh)</t>
  </si>
  <si>
    <t>RTM MCP (₹/MWh)</t>
  </si>
  <si>
    <t>RTM Price (₹/kWh)</t>
  </si>
  <si>
    <t>Price Spread (₹/kWh)</t>
  </si>
  <si>
    <t>Market Condition</t>
  </si>
  <si>
    <t>26-09-2026</t>
  </si>
  <si>
    <t>27-09-2026</t>
  </si>
  <si>
    <t>28-09-2026</t>
  </si>
  <si>
    <t>29-09-2026</t>
  </si>
  <si>
    <t>30-09-2026</t>
  </si>
  <si>
    <t>01-10-2026</t>
  </si>
  <si>
    <t>02-10-2026</t>
  </si>
  <si>
    <t>03-10-2026</t>
  </si>
  <si>
    <t>04-10-2026</t>
  </si>
  <si>
    <t>05-10-2026</t>
  </si>
  <si>
    <t>06-10-2026</t>
  </si>
  <si>
    <t>07-10-2026</t>
  </si>
  <si>
    <t>08-10-2026</t>
  </si>
  <si>
    <t>09-10-2026</t>
  </si>
  <si>
    <t>10-10-2026</t>
  </si>
  <si>
    <t>11-10-2026</t>
  </si>
  <si>
    <t>12-10-2026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</si>
  <si>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</si>
  <si>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</si>
  <si>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</si>
  <si>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</si>
  <si>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</si>
  <si>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</si>
  <si>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</si>
  <si>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</si>
  <si>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</si>
  <si>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</si>
  <si>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</si>
  <si>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</si>
  <si>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</si>
  <si>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Average</t>
  </si>
  <si>
    <t>Transaction ID</t>
  </si>
  <si>
    <t>Market Segment</t>
  </si>
  <si>
    <t>Client Name</t>
  </si>
  <si>
    <t>Client Type</t>
  </si>
  <si>
    <t>Volume Traded (MWh)</t>
  </si>
  <si>
    <t>Exchange Buy Rate (₹/kWh)</t>
  </si>
  <si>
    <t>Open Access &amp; Wheeling (₹/kWh)</t>
  </si>
  <si>
    <t>Trading Margin (₹/kWh)</t>
  </si>
  <si>
    <t>Billed Tariff (₹/kWh)</t>
  </si>
  <si>
    <t>Direct Power Cost (₹)</t>
  </si>
  <si>
    <t>Gross Invoiced Revenue (₹)</t>
  </si>
  <si>
    <t>Net Trading Margin (₹)</t>
  </si>
  <si>
    <t>TXN-DAM-001</t>
  </si>
  <si>
    <t>UPPCL</t>
  </si>
  <si>
    <t>DISCOM</t>
  </si>
  <si>
    <t>TXN-DAM-002</t>
  </si>
  <si>
    <t>TXN-DAM-003</t>
  </si>
  <si>
    <t>TXN-DAM-004</t>
  </si>
  <si>
    <t>TXN-DAM-005</t>
  </si>
  <si>
    <t>TXN-DAM-006</t>
  </si>
  <si>
    <t>TXN-DAM-007</t>
  </si>
  <si>
    <t>TXN-DAM-008</t>
  </si>
  <si>
    <t>TXN-DAM-009</t>
  </si>
  <si>
    <t>TXN-DAM-010</t>
  </si>
  <si>
    <t>TXN-DAM-011</t>
  </si>
  <si>
    <t>TXN-DAM-012</t>
  </si>
  <si>
    <t>TXN-DAM-013</t>
  </si>
  <si>
    <t>TXN-DAM-014</t>
  </si>
  <si>
    <t>TXN-DAM-015</t>
  </si>
  <si>
    <t>TXN-DAM-016</t>
  </si>
  <si>
    <t>TXN-DAM-017</t>
  </si>
  <si>
    <t>TXN-DAM-018</t>
  </si>
  <si>
    <t>TXN-DAM-019</t>
  </si>
  <si>
    <t>TXN-DAM-020</t>
  </si>
  <si>
    <t>TXN-DAM-021</t>
  </si>
  <si>
    <t>TXN-DAM-022</t>
  </si>
  <si>
    <t>TXN-DAM-023</t>
  </si>
  <si>
    <t>TXN-DAM-024</t>
  </si>
  <si>
    <t>TXN-DAM-025</t>
  </si>
  <si>
    <t>TXN-DAM-026</t>
  </si>
  <si>
    <t>TXN-DAM-027</t>
  </si>
  <si>
    <t>TXN-DAM-028</t>
  </si>
  <si>
    <t>TXN-DAM-029</t>
  </si>
  <si>
    <t>TXN-DAM-030</t>
  </si>
  <si>
    <t>TXN-RTM-001</t>
  </si>
  <si>
    <t>Tata Steel</t>
  </si>
  <si>
    <t>C&amp;I</t>
  </si>
  <si>
    <t>TXN-RTM-002</t>
  </si>
  <si>
    <t>TXN-RTM-003</t>
  </si>
  <si>
    <t>TXN-RTM-004</t>
  </si>
  <si>
    <t>TXN-RTM-005</t>
  </si>
  <si>
    <t>TXN-RTM-006</t>
  </si>
  <si>
    <t>TXN-RTM-007</t>
  </si>
  <si>
    <t>TXN-RTM-008</t>
  </si>
  <si>
    <t>TXN-RTM-009</t>
  </si>
  <si>
    <t>TXN-RTM-010</t>
  </si>
  <si>
    <t>TXN-RTM-011</t>
  </si>
  <si>
    <t>TXN-RTM-012</t>
  </si>
  <si>
    <t>TXN-RTM-013</t>
  </si>
  <si>
    <t>TXN-RTM-014</t>
  </si>
  <si>
    <t>TXN-RTM-015</t>
  </si>
  <si>
    <t>TXN-RTM-016</t>
  </si>
  <si>
    <t>TXN-RTM-017</t>
  </si>
  <si>
    <t>TXN-RTM-018</t>
  </si>
  <si>
    <t>TXN-RTM-019</t>
  </si>
  <si>
    <t>TXN-RTM-020</t>
  </si>
  <si>
    <t>TXN-RTM-021</t>
  </si>
  <si>
    <t>TXN-RTM-022</t>
  </si>
  <si>
    <t>TXN-RTM-023</t>
  </si>
  <si>
    <t>TXN-RTM-024</t>
  </si>
  <si>
    <t>TXN-RTM-025</t>
  </si>
  <si>
    <t>TXN-RTM-026</t>
  </si>
  <si>
    <t>TXN-RTM-027</t>
  </si>
  <si>
    <t>TXN-RTM-028</t>
  </si>
  <si>
    <t>TXN-RTM-029</t>
  </si>
  <si>
    <t>TXN-RTM-030</t>
  </si>
  <si>
    <t>TABLE 1: SEGMENT &amp; CLIENT-WISE PROFITABILITY REPORT</t>
  </si>
  <si>
    <t>Net Margin (₹ Lakhs)</t>
  </si>
  <si>
    <t>Realized Margin (p/kWh)</t>
  </si>
  <si>
    <t>Total Portfolio</t>
  </si>
  <si>
    <t>—</t>
  </si>
  <si>
    <t>TABLE 2: BUDGET VS ACTUAL VARIANCE ANALYSIS</t>
  </si>
  <si>
    <t>Metric</t>
  </si>
  <si>
    <t>Budget Target</t>
  </si>
  <si>
    <t>Actual Cleared</t>
  </si>
  <si>
    <t>Variance (Abs)</t>
  </si>
  <si>
    <t>Variance (%)</t>
  </si>
  <si>
    <t>Management Commentary</t>
  </si>
  <si>
    <t>Traded Volume (MUs)</t>
  </si>
  <si>
    <t>Discom off-take curtailed due to high hydro generation.</t>
  </si>
  <si>
    <t>Avg Exchange MCP (₹/kWh)</t>
  </si>
  <si>
    <t>Spot MCP elevated due to seasonal evening peak demand.</t>
  </si>
  <si>
    <t>Gross Revenue (₹ Cr)</t>
  </si>
  <si>
    <t>Lower volume partially offset by higher per-unit cleared tariff.</t>
  </si>
  <si>
    <t>Net Trading Margin (₹ Lakhs)</t>
  </si>
  <si>
    <t>Margin shortfall driven by 2.50 MU lower Discom volume.</t>
  </si>
  <si>
    <t>Day #</t>
  </si>
  <si>
    <t>Timeline Date</t>
  </si>
  <si>
    <t>Exchange Outflow (T+1) (₹)</t>
  </si>
  <si>
    <t>C&amp;I Inflow (T+15) (₹)</t>
  </si>
  <si>
    <t>DISCOM Inflow (T+45) (₹)</t>
  </si>
  <si>
    <t>Total Cash Inflow (₹)</t>
  </si>
  <si>
    <t>Net Daily Cash Flow (₹)</t>
  </si>
  <si>
    <t>Cumulative Cash Position (₹ Cr)</t>
  </si>
  <si>
    <t>Daily Interest Cost @ 9% (₹)</t>
  </si>
  <si>
    <t>Peak Liquidity Deficit (₹ Cr)</t>
  </si>
  <si>
    <t>Day of Peak Deficit</t>
  </si>
  <si>
    <t>Working Capital Limit Required (₹ Cr)</t>
  </si>
  <si>
    <t>Total Financing Cost Drag (₹ Lakhs)</t>
  </si>
  <si>
    <t>Net Trade Profitability after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</si>
</sst>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&quot; MUs&quot;"/>
    <numFmt numFmtId="165" formatCode="&quot;₹&quot;#,##0.00&quot; Cr&quot;"/>
    <numFmt numFmtId="166" formatCode="&quot;₹&quot;#,##0.00&quot; Lk&quot;"/>
    <numFmt numFmtId="167" formatCode="0.0000"/>
    <numFmt numFmtId="168" formatCode="0.00&quot; p/u&quot;"/>
    <numFmt numFmtId="169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3"/>
      <color rgb="FFFFFFFF"/>
      <name val="Calibri"/>
      <family val="2"/>
    </font>
    <font>
      <b/>
      <sz val="9"/>
      <color rgb="FF64748B"/>
      <name val="Calibri"/>
      <family val="2"/>
    </font>
    <font>
      <b/>
      <sz val="17"/>
      <color rgb="FF0F172A"/>
      <name val="Calibri"/>
      <family val="2"/>
    </font>
    <font>
      <sz val="9"/>
      <color rgb="FF475569"/>
      <name val="Calibri"/>
      <family val="2"/>
    </font>
    <font>
      <b/>
      <sz val="17"/>
      <color rgb="FF16A34A"/>
      <name val="Calibri"/>
      <family val="2"/>
    </font>
    <font>
      <b/>
      <sz val="17"/>
      <color rgb="FFDC2626"/>
      <name val="Calibri"/>
      <family val="2"/>
    </font>
    <font>
      <b/>
      <sz val="11"/>
      <color rgb="FF1E293B"/>
      <name val="Calibri"/>
      <family val="2"/>
    </font>
    <font>
      <sz val="11"/>
      <name val="Calibri"/>
      <family val="2"/>
    </font>
    <font>
      <b/>
      <sz val="10"/>
      <color rgb="FFDC262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0F172A"/>
        <bgColor rgb="FF0F172A"/>
      </patternFill>
    </fill>
    <fill>
      <patternFill patternType="solid">
        <fgColor rgb="FFF8FAFC"/>
        <bgColor rgb="FFF8FAFC"/>
      </patternFill>
    </fill>
    <fill>
      <patternFill patternType="solid">
        <fgColor rgb="FFF1F5F9"/>
        <bgColor rgb="FFF1F5F9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" fontId="0" fillId="0" borderId="0" xfId="0" applyNumberFormat="1"/>
    <xf numFmtId="167" fontId="0" fillId="0" borderId="0" xfId="0" applyNumberFormat="1"/>
    <xf numFmtId="0" fontId="2" fillId="0" borderId="0" xfId="0" applyFont="1"/>
    <xf numFmtId="3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167" fontId="2" fillId="0" borderId="0" xfId="0" applyNumberFormat="1" applyFont="1"/>
    <xf numFmtId="169" fontId="0" fillId="0" borderId="0" xfId="0" applyNumberFormat="1"/>
    <xf numFmtId="1" fontId="2" fillId="0" borderId="0" xfId="0" applyNumberFormat="1" applyFont="1"/>
    <xf numFmtId="2" fontId="10" fillId="0" borderId="1" xfId="0" applyNumberFormat="1" applyFont="1" applyBorder="1" applyAlignment="1">
      <alignment horizontal="right" vertical="center"/>
    </xf>
    <xf numFmtId="167" fontId="10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167" fontId="2" fillId="5" borderId="1" xfId="0" applyNumberFormat="1" applyFont="1" applyFill="1" applyBorder="1" applyAlignment="1">
      <alignment horizontal="right" vertical="center"/>
    </xf>
    <xf numFmtId="2" fontId="2" fillId="5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0" fillId="0" borderId="2" xfId="0" applyBorder="1"/>
    <xf numFmtId="0" fontId="10" fillId="0" borderId="1" xfId="0" applyFont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0" fillId="0" borderId="3" xfId="0" applyBorder="1"/>
    <xf numFmtId="0" fontId="6" fillId="4" borderId="1" xfId="0" applyFont="1" applyFill="1" applyBorder="1" applyAlignment="1">
      <alignment horizontal="center" vertical="center"/>
    </xf>
    <xf numFmtId="168" fontId="2" fillId="5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center" vertical="center"/>
    </xf>
    <xf numFmtId="168" fontId="10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165" fontId="8" fillId="4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6" fontId="7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IEX Day-Ahead vs Real-Time Clearing Price (₹/kWh)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'01_Daily_Market_Data'!$D$1</c:f>
              <c:strCache>
                <c:ptCount val="1"/>
                <c:pt idx="0">
                  <c:v>DAM Price (₹/kWh)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'01_Daily_Market_Data'!$A$2:$A$31</c:f>
              <c:strCache>
                <c:ptCount val="30"/>
                <c:pt idx="0">
                  <c:v>26-09-2026</c:v>
                </c:pt>
                <c:pt idx="1">
                  <c:v>27-09-2026</c:v>
                </c:pt>
                <c:pt idx="2">
                  <c:v>28-09-2026</c:v>
                </c:pt>
                <c:pt idx="3">
                  <c:v>29-09-2026</c:v>
                </c:pt>
                <c:pt idx="4">
                  <c:v>30-09-2026</c:v>
                </c:pt>
                <c:pt idx="5">
                  <c:v>01-10-2026</c:v>
                </c:pt>
                <c:pt idx="6">
                  <c:v>02-10-2026</c:v>
                </c:pt>
                <c:pt idx="7">
                  <c:v>03-10-2026</c:v>
                </c:pt>
                <c:pt idx="8">
                  <c:v>04-10-2026</c:v>
                </c:pt>
                <c:pt idx="9">
                  <c:v>05-10-2026</c:v>
                </c:pt>
                <c:pt idx="10">
                  <c:v>06-10-2026</c:v>
                </c:pt>
                <c:pt idx="11">
                  <c:v>07-10-2026</c:v>
                </c:pt>
                <c:pt idx="12">
                  <c:v>08-10-2026</c:v>
                </c:pt>
                <c:pt idx="13">
                  <c:v>09-10-2026</c:v>
                </c:pt>
                <c:pt idx="14">
                  <c:v>10-10-2026</c:v>
                </c:pt>
                <c:pt idx="15">
                  <c:v>11-10-2026</c:v>
                </c:pt>
                <c:pt idx="16">
                  <c:v>12-10-2026</c:v>
                </c:pt>
                <c:pt idx="17">
                  <c:v>13-10-2026</c:v>
                </c:pt>
                <c:pt idx="18">
                  <c:v>14-10-2026</c:v>
                </c:pt>
                <c:pt idx="19">
                  <c:v>15-10-2026</c:v>
                </c:pt>
                <c:pt idx="20">
                  <c:v>16-10-2026</c:v>
                </c:pt>
                <c:pt idx="21">
                  <c:v>17-10-2026</c:v>
                </c:pt>
                <c:pt idx="22">
                  <c:v>18-10-2026</c:v>
                </c:pt>
                <c:pt idx="23">
                  <c:v>19-10-2026</c:v>
                </c:pt>
                <c:pt idx="24">
                  <c:v>20-10-2026</c:v>
                </c:pt>
                <c:pt idx="25">
                  <c:v>21-10-2026</c:v>
                </c:pt>
                <c:pt idx="26">
                  <c:v>22-10-2026</c:v>
                </c:pt>
                <c:pt idx="27">
                  <c:v>23-10-2026</c:v>
                </c:pt>
                <c:pt idx="28">
                  <c:v>24-10-2026</c:v>
                </c:pt>
                <c:pt idx="29">
                  <c:v>25-10-2026</c:v>
                </c:pt>
              </c:strCache>
            </c:strRef>
          </c:cat>
          <c:val>
            <c:numRef>
              <c:f>'01_Daily_Market_Data'!$D$2:$D$31</c:f>
              <c:numCache>
                <c:formatCode>0.0000</c:formatCode>
                <c:ptCount val="30"/>
                <c:pt idx="0">
                  <c:v>4.2993800000000002</c:v>
                </c:pt>
                <c:pt idx="1">
                  <c:v>2.7559</c:v>
                </c:pt>
                <c:pt idx="2">
                  <c:v>5.4442200000000005</c:v>
                </c:pt>
                <c:pt idx="3">
                  <c:v>7.4485600000000005</c:v>
                </c:pt>
                <c:pt idx="4">
                  <c:v>7.65212</c:v>
                </c:pt>
                <c:pt idx="5">
                  <c:v>7.42652</c:v>
                </c:pt>
                <c:pt idx="6">
                  <c:v>7.1697899999999999</c:v>
                </c:pt>
                <c:pt idx="7">
                  <c:v>7.2092000000000001</c:v>
                </c:pt>
                <c:pt idx="8">
                  <c:v>7.0647000000000002</c:v>
                </c:pt>
                <c:pt idx="9">
                  <c:v>7.5995200000000001</c:v>
                </c:pt>
                <c:pt idx="10">
                  <c:v>7.7642899999999999</c:v>
                </c:pt>
                <c:pt idx="11">
                  <c:v>7.9933999999999994</c:v>
                </c:pt>
                <c:pt idx="12">
                  <c:v>8.0322800000000001</c:v>
                </c:pt>
                <c:pt idx="13">
                  <c:v>8.0392700000000001</c:v>
                </c:pt>
                <c:pt idx="14">
                  <c:v>8.0105400000000007</c:v>
                </c:pt>
                <c:pt idx="15">
                  <c:v>7.6168500000000003</c:v>
                </c:pt>
                <c:pt idx="16">
                  <c:v>7.88612</c:v>
                </c:pt>
                <c:pt idx="17">
                  <c:v>7.6826000000000008</c:v>
                </c:pt>
                <c:pt idx="18">
                  <c:v>7.6896199999999997</c:v>
                </c:pt>
                <c:pt idx="19">
                  <c:v>8.0774699999999999</c:v>
                </c:pt>
                <c:pt idx="20">
                  <c:v>8.1815200000000008</c:v>
                </c:pt>
                <c:pt idx="21">
                  <c:v>8.0442099999999996</c:v>
                </c:pt>
                <c:pt idx="22">
                  <c:v>7.5573999999999995</c:v>
                </c:pt>
                <c:pt idx="23">
                  <c:v>7.8447299999999993</c:v>
                </c:pt>
                <c:pt idx="24">
                  <c:v>6.5206999999999997</c:v>
                </c:pt>
                <c:pt idx="25">
                  <c:v>6.1216800000000005</c:v>
                </c:pt>
                <c:pt idx="26">
                  <c:v>6.8976800000000003</c:v>
                </c:pt>
                <c:pt idx="27">
                  <c:v>6.7444700000000006</c:v>
                </c:pt>
                <c:pt idx="28">
                  <c:v>5.7683</c:v>
                </c:pt>
                <c:pt idx="29">
                  <c:v>3.99966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63-4C75-840A-D857EA7B35BB}"/>
            </c:ext>
          </c:extLst>
        </c:ser>
        <c:ser>
          <c:idx val="1"/>
          <c:order val="1"/>
          <c:tx>
            <c:strRef>
              <c:f>'01_Daily_Market_Data'!$G$1</c:f>
              <c:strCache>
                <c:ptCount val="1"/>
                <c:pt idx="0">
                  <c:v>RTM Price (₹/kWh)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'01_Daily_Market_Data'!$A$2:$A$31</c:f>
              <c:strCache>
                <c:ptCount val="30"/>
                <c:pt idx="0">
                  <c:v>26-09-2026</c:v>
                </c:pt>
                <c:pt idx="1">
                  <c:v>27-09-2026</c:v>
                </c:pt>
                <c:pt idx="2">
                  <c:v>28-09-2026</c:v>
                </c:pt>
                <c:pt idx="3">
                  <c:v>29-09-2026</c:v>
                </c:pt>
                <c:pt idx="4">
                  <c:v>30-09-2026</c:v>
                </c:pt>
                <c:pt idx="5">
                  <c:v>01-10-2026</c:v>
                </c:pt>
                <c:pt idx="6">
                  <c:v>02-10-2026</c:v>
                </c:pt>
                <c:pt idx="7">
                  <c:v>03-10-2026</c:v>
                </c:pt>
                <c:pt idx="8">
                  <c:v>04-10-2026</c:v>
                </c:pt>
                <c:pt idx="9">
                  <c:v>05-10-2026</c:v>
                </c:pt>
                <c:pt idx="10">
                  <c:v>06-10-2026</c:v>
                </c:pt>
                <c:pt idx="11">
                  <c:v>07-10-2026</c:v>
                </c:pt>
                <c:pt idx="12">
                  <c:v>08-10-2026</c:v>
                </c:pt>
                <c:pt idx="13">
                  <c:v>09-10-2026</c:v>
                </c:pt>
                <c:pt idx="14">
                  <c:v>10-10-2026</c:v>
                </c:pt>
                <c:pt idx="15">
                  <c:v>11-10-2026</c:v>
                </c:pt>
                <c:pt idx="16">
                  <c:v>12-10-2026</c:v>
                </c:pt>
                <c:pt idx="17">
                  <c:v>13-10-2026</c:v>
                </c:pt>
                <c:pt idx="18">
                  <c:v>14-10-2026</c:v>
                </c:pt>
                <c:pt idx="19">
                  <c:v>15-10-2026</c:v>
                </c:pt>
                <c:pt idx="20">
                  <c:v>16-10-2026</c:v>
                </c:pt>
                <c:pt idx="21">
                  <c:v>17-10-2026</c:v>
                </c:pt>
                <c:pt idx="22">
                  <c:v>18-10-2026</c:v>
                </c:pt>
                <c:pt idx="23">
                  <c:v>19-10-2026</c:v>
                </c:pt>
                <c:pt idx="24">
                  <c:v>20-10-2026</c:v>
                </c:pt>
                <c:pt idx="25">
                  <c:v>21-10-2026</c:v>
                </c:pt>
                <c:pt idx="26">
                  <c:v>22-10-2026</c:v>
                </c:pt>
                <c:pt idx="27">
                  <c:v>23-10-2026</c:v>
                </c:pt>
                <c:pt idx="28">
                  <c:v>24-10-2026</c:v>
                </c:pt>
                <c:pt idx="29">
                  <c:v>25-10-2026</c:v>
                </c:pt>
              </c:strCache>
            </c:strRef>
          </c:cat>
          <c:val>
            <c:numRef>
              <c:f>'01_Daily_Market_Data'!$G$2:$G$31</c:f>
              <c:numCache>
                <c:formatCode>0.0000</c:formatCode>
                <c:ptCount val="30"/>
                <c:pt idx="0">
                  <c:v>2.0288499999999998</c:v>
                </c:pt>
                <c:pt idx="1">
                  <c:v>4.0457700000000001</c:v>
                </c:pt>
                <c:pt idx="2">
                  <c:v>5.9669099999999995</c:v>
                </c:pt>
                <c:pt idx="3">
                  <c:v>6.3885899999999998</c:v>
                </c:pt>
                <c:pt idx="4">
                  <c:v>6.9311000000000007</c:v>
                </c:pt>
                <c:pt idx="5">
                  <c:v>7.1345200000000002</c:v>
                </c:pt>
                <c:pt idx="6">
                  <c:v>7.0278900000000002</c:v>
                </c:pt>
                <c:pt idx="7">
                  <c:v>7.6692399999999994</c:v>
                </c:pt>
                <c:pt idx="8">
                  <c:v>7.2096200000000001</c:v>
                </c:pt>
                <c:pt idx="9">
                  <c:v>8.0092200000000009</c:v>
                </c:pt>
                <c:pt idx="10">
                  <c:v>7.8542800000000002</c:v>
                </c:pt>
                <c:pt idx="11">
                  <c:v>7.8681099999999997</c:v>
                </c:pt>
                <c:pt idx="12">
                  <c:v>7.8438999999999997</c:v>
                </c:pt>
                <c:pt idx="13">
                  <c:v>7.7754799999999999</c:v>
                </c:pt>
                <c:pt idx="14">
                  <c:v>7.3856099999999998</c:v>
                </c:pt>
                <c:pt idx="15">
                  <c:v>5.9343999999999992</c:v>
                </c:pt>
                <c:pt idx="16">
                  <c:v>6.0080200000000001</c:v>
                </c:pt>
                <c:pt idx="17">
                  <c:v>7.4573999999999998</c:v>
                </c:pt>
                <c:pt idx="18">
                  <c:v>8.4500599999999988</c:v>
                </c:pt>
                <c:pt idx="19">
                  <c:v>7.9276499999999999</c:v>
                </c:pt>
                <c:pt idx="20">
                  <c:v>7.6234500000000001</c:v>
                </c:pt>
                <c:pt idx="21">
                  <c:v>6.7506599999999999</c:v>
                </c:pt>
                <c:pt idx="22">
                  <c:v>4.2780699999999996</c:v>
                </c:pt>
                <c:pt idx="23">
                  <c:v>4.4045200000000007</c:v>
                </c:pt>
                <c:pt idx="24">
                  <c:v>2.8636999999999997</c:v>
                </c:pt>
                <c:pt idx="25">
                  <c:v>4.1071999999999997</c:v>
                </c:pt>
                <c:pt idx="26">
                  <c:v>4.4946899999999994</c:v>
                </c:pt>
                <c:pt idx="27">
                  <c:v>3.9737199999999997</c:v>
                </c:pt>
                <c:pt idx="28">
                  <c:v>4.0875300000000001</c:v>
                </c:pt>
                <c:pt idx="29">
                  <c:v>2.7743699999999998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63-4C75-840A-D857EA7B3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Delivery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Price (₹/kWh)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60-Day Liquidity Trajectory: T+1 Payout vs DISCOM Credit Lag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'04_Working_Capital'!$H$1</c:f>
              <c:strCache>
                <c:ptCount val="1"/>
                <c:pt idx="0">
                  <c:v>Cumulative Cash Position (₹ Cr)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'04_Working_Capital'!$A$2:$A$61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'04_Working_Capital'!$H$2:$H$61</c:f>
              <c:numCache>
                <c:formatCode>0.0000</c:formatCode>
                <c:ptCount val="60"/>
                <c:pt idx="0">
                  <c:v>0</c:v>
                </c:pt>
                <c:pt idx="1">
                  <c:v>-0.27465174999999997</c:v>
                </c:pt>
                <c:pt idx="2">
                  <c:v>-0.50238329999999998</c:v>
                </c:pt>
                <c:pt idx="3">
                  <c:v>-0.89334795</c:v>
                </c:pt>
                <c:pt idx="4">
                  <c:v>-1.3908548000000001</c:v>
                </c:pt>
                <c:pt idx="5">
                  <c:v>-1.9066773000000001</c:v>
                </c:pt>
                <c:pt idx="6">
                  <c:v>-2.4142711000000001</c:v>
                </c:pt>
                <c:pt idx="7">
                  <c:v>-2.9074289499999999</c:v>
                </c:pt>
                <c:pt idx="8">
                  <c:v>-3.41217755</c:v>
                </c:pt>
                <c:pt idx="9">
                  <c:v>-3.9028068500000002</c:v>
                </c:pt>
                <c:pt idx="10">
                  <c:v>-4.4321711500000003</c:v>
                </c:pt>
                <c:pt idx="11">
                  <c:v>-4.9674498500000004</c:v>
                </c:pt>
                <c:pt idx="12">
                  <c:v>-5.5143915000000003</c:v>
                </c:pt>
                <c:pt idx="13">
                  <c:v>-6.0629140000000001</c:v>
                </c:pt>
                <c:pt idx="14">
                  <c:v>-6.6107597</c:v>
                </c:pt>
                <c:pt idx="15">
                  <c:v>-7.1130880999999997</c:v>
                </c:pt>
                <c:pt idx="16">
                  <c:v>-7.5437100499999996</c:v>
                </c:pt>
                <c:pt idx="17">
                  <c:v>-7.9600826999999992</c:v>
                </c:pt>
                <c:pt idx="18">
                  <c:v>-8.3816948499999988</c:v>
                </c:pt>
                <c:pt idx="19">
                  <c:v>-8.8104102499999986</c:v>
                </c:pt>
                <c:pt idx="20">
                  <c:v>-9.2476306999999984</c:v>
                </c:pt>
                <c:pt idx="21">
                  <c:v>-9.6870900999999989</c:v>
                </c:pt>
                <c:pt idx="22">
                  <c:v>-10.096971899999998</c:v>
                </c:pt>
                <c:pt idx="23">
                  <c:v>-10.452318649999999</c:v>
                </c:pt>
                <c:pt idx="24">
                  <c:v>-10.81193465</c:v>
                </c:pt>
                <c:pt idx="25">
                  <c:v>-11.08456095</c:v>
                </c:pt>
                <c:pt idx="26">
                  <c:v>-11.355681300000001</c:v>
                </c:pt>
                <c:pt idx="27">
                  <c:v>-11.67177715</c:v>
                </c:pt>
                <c:pt idx="28">
                  <c:v>-11.973424250000001</c:v>
                </c:pt>
                <c:pt idx="29">
                  <c:v>-12.23381805</c:v>
                </c:pt>
                <c:pt idx="30">
                  <c:v>-12.4078506</c:v>
                </c:pt>
                <c:pt idx="31">
                  <c:v>-12.3099303</c:v>
                </c:pt>
                <c:pt idx="32">
                  <c:v>-12.190269299999999</c:v>
                </c:pt>
                <c:pt idx="33">
                  <c:v>-12.055718399999998</c:v>
                </c:pt>
                <c:pt idx="34">
                  <c:v>-11.929003649999999</c:v>
                </c:pt>
                <c:pt idx="35">
                  <c:v>-11.806851899999998</c:v>
                </c:pt>
                <c:pt idx="36">
                  <c:v>-11.697791999999998</c:v>
                </c:pt>
                <c:pt idx="37">
                  <c:v>-11.625820949999998</c:v>
                </c:pt>
                <c:pt idx="38">
                  <c:v>-11.551953149999997</c:v>
                </c:pt>
                <c:pt idx="39">
                  <c:v>-11.501197649999998</c:v>
                </c:pt>
                <c:pt idx="40">
                  <c:v>-11.431789649999999</c:v>
                </c:pt>
                <c:pt idx="41">
                  <c:v>-11.356569299999999</c:v>
                </c:pt>
                <c:pt idx="42">
                  <c:v>-11.289163499999999</c:v>
                </c:pt>
                <c:pt idx="43">
                  <c:v>-11.22005055</c:v>
                </c:pt>
                <c:pt idx="44">
                  <c:v>-11.170634999999999</c:v>
                </c:pt>
                <c:pt idx="45">
                  <c:v>-10.931165999999999</c:v>
                </c:pt>
                <c:pt idx="46">
                  <c:v>-10.768870999999999</c:v>
                </c:pt>
                <c:pt idx="47">
                  <c:v>-10.472159999999999</c:v>
                </c:pt>
                <c:pt idx="48">
                  <c:v>-10.075231999999998</c:v>
                </c:pt>
                <c:pt idx="49">
                  <c:v>-9.6681259999999973</c:v>
                </c:pt>
                <c:pt idx="50">
                  <c:v>-9.2722999999999978</c:v>
                </c:pt>
                <c:pt idx="51">
                  <c:v>-8.889310499999997</c:v>
                </c:pt>
                <c:pt idx="52">
                  <c:v>-8.5043504999999975</c:v>
                </c:pt>
                <c:pt idx="53">
                  <c:v>-8.126615499999998</c:v>
                </c:pt>
                <c:pt idx="54">
                  <c:v>-7.7221394999999982</c:v>
                </c:pt>
                <c:pt idx="55">
                  <c:v>-7.3094249999999983</c:v>
                </c:pt>
                <c:pt idx="56">
                  <c:v>-6.8852549999999981</c:v>
                </c:pt>
                <c:pt idx="57">
                  <c:v>-6.459140999999998</c:v>
                </c:pt>
                <c:pt idx="58">
                  <c:v>-6.0326774999999984</c:v>
                </c:pt>
                <c:pt idx="59">
                  <c:v>-5.6076504999999983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F-471E-A581-07824ECBA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63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8</xdr:row>
      <xdr:rowOff>0</xdr:rowOff>
    </xdr:from>
    <xdr:ext cx="63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5"/>
  <sheetViews>
    <sheetView showGridLines="0" topLeftCell="A3" zoomScale="70" workbookViewId="0">
      <selection activeCell="Q14" sqref="Q14"/>
    </sheetView>
  </sheetViews>
  <sheetFormatPr defaultRowHeight="14.5" x14ac:dyDescent="0.35"/>
  <cols>
    <col min="1" max="1" width="3" customWidth="1"/>
    <col min="2" max="13" width="13.453125" customWidth="1"/>
  </cols>
  <sheetData>
    <row r="2" spans="2:13" x14ac:dyDescent="0.35">
      <c r="B2" s="27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2:13" x14ac:dyDescent="0.3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5" spans="2:13" x14ac:dyDescent="0.35">
      <c r="B5" s="26" t="s">
        <v>1</v>
      </c>
      <c r="C5" s="21"/>
      <c r="D5" s="18"/>
      <c r="E5" s="26" t="s">
        <v>2</v>
      </c>
      <c r="F5" s="21"/>
      <c r="G5" s="18"/>
      <c r="H5" s="26" t="s">
        <v>3</v>
      </c>
      <c r="I5" s="21"/>
      <c r="J5" s="18"/>
      <c r="K5" s="26" t="s">
        <v>4</v>
      </c>
      <c r="L5" s="21"/>
      <c r="M5" s="18"/>
    </row>
    <row r="6" spans="2:13" ht="22" x14ac:dyDescent="0.35">
      <c r="B6" s="24">
        <f>'03_Financial_MIS'!C6</f>
        <v>19.5</v>
      </c>
      <c r="C6" s="21"/>
      <c r="D6" s="18"/>
      <c r="E6" s="20">
        <f>'03_Financial_MIS'!D6</f>
        <v>14.230252950000001</v>
      </c>
      <c r="F6" s="21"/>
      <c r="G6" s="18"/>
      <c r="H6" s="34">
        <f>'03_Financial_MIS'!F6</f>
        <v>9.1499999999999524</v>
      </c>
      <c r="I6" s="21"/>
      <c r="J6" s="18"/>
      <c r="K6" s="31">
        <f>'04_Working_Capital'!L3</f>
        <v>-12.4078506</v>
      </c>
      <c r="L6" s="21"/>
      <c r="M6" s="18"/>
    </row>
    <row r="7" spans="2:13" x14ac:dyDescent="0.35">
      <c r="B7" s="22" t="s">
        <v>5</v>
      </c>
      <c r="C7" s="21"/>
      <c r="D7" s="18"/>
      <c r="E7" s="22" t="s">
        <v>6</v>
      </c>
      <c r="F7" s="21"/>
      <c r="G7" s="18"/>
      <c r="H7" s="22" t="s">
        <v>7</v>
      </c>
      <c r="I7" s="21"/>
      <c r="J7" s="18"/>
      <c r="K7" s="22" t="s">
        <v>8</v>
      </c>
      <c r="L7" s="21"/>
      <c r="M7" s="18"/>
    </row>
    <row r="31" spans="2:13" x14ac:dyDescent="0.35">
      <c r="B31" s="32" t="s">
        <v>9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</row>
    <row r="32" spans="2:13" x14ac:dyDescent="0.35">
      <c r="B32" s="14" t="s">
        <v>10</v>
      </c>
      <c r="C32" s="18"/>
      <c r="D32" s="14" t="s">
        <v>11</v>
      </c>
      <c r="E32" s="18"/>
      <c r="F32" s="14" t="s">
        <v>12</v>
      </c>
      <c r="G32" s="14" t="s">
        <v>13</v>
      </c>
      <c r="H32" s="14" t="s">
        <v>14</v>
      </c>
      <c r="I32" s="14" t="s">
        <v>15</v>
      </c>
      <c r="J32" s="14" t="s">
        <v>16</v>
      </c>
      <c r="K32" s="14" t="s">
        <v>17</v>
      </c>
      <c r="L32" s="14" t="s">
        <v>18</v>
      </c>
      <c r="M32" s="18"/>
    </row>
    <row r="33" spans="2:13" x14ac:dyDescent="0.35">
      <c r="B33" s="17" t="s">
        <v>19</v>
      </c>
      <c r="C33" s="18"/>
      <c r="D33" s="19" t="s">
        <v>20</v>
      </c>
      <c r="E33" s="18"/>
      <c r="F33" s="12">
        <f>'03_Financial_MIS'!C4</f>
        <v>15</v>
      </c>
      <c r="G33" s="13">
        <f>'03_Financial_MIS'!D4</f>
        <v>11.262135000000001</v>
      </c>
      <c r="H33" s="13">
        <f>'03_Financial_MIS'!E4</f>
        <v>11.202135</v>
      </c>
      <c r="I33" s="12">
        <f>'03_Financial_MIS'!F4</f>
        <v>5.9999999999999396</v>
      </c>
      <c r="J33" s="25">
        <f>'03_Financial_MIS'!G4</f>
        <v>3.99999999999996</v>
      </c>
      <c r="K33" s="17" t="s">
        <v>21</v>
      </c>
      <c r="L33" s="19" t="s">
        <v>22</v>
      </c>
      <c r="M33" s="18"/>
    </row>
    <row r="34" spans="2:13" x14ac:dyDescent="0.35">
      <c r="B34" s="17" t="s">
        <v>23</v>
      </c>
      <c r="C34" s="18"/>
      <c r="D34" s="19" t="s">
        <v>24</v>
      </c>
      <c r="E34" s="18"/>
      <c r="F34" s="12">
        <f>'03_Financial_MIS'!C5</f>
        <v>4.5</v>
      </c>
      <c r="G34" s="13">
        <f>'03_Financial_MIS'!D5</f>
        <v>2.9681179499999999</v>
      </c>
      <c r="H34" s="13">
        <f>'03_Financial_MIS'!E5</f>
        <v>2.93661795</v>
      </c>
      <c r="I34" s="12">
        <f>'03_Financial_MIS'!F5</f>
        <v>3.1500000000000128</v>
      </c>
      <c r="J34" s="25">
        <f>'03_Financial_MIS'!G5</f>
        <v>7.0000000000000284</v>
      </c>
      <c r="K34" s="17" t="s">
        <v>25</v>
      </c>
      <c r="L34" s="19" t="s">
        <v>26</v>
      </c>
      <c r="M34" s="18"/>
    </row>
    <row r="35" spans="2:13" x14ac:dyDescent="0.35">
      <c r="B35" s="29" t="s">
        <v>27</v>
      </c>
      <c r="C35" s="18"/>
      <c r="D35" s="33" t="s">
        <v>28</v>
      </c>
      <c r="E35" s="18"/>
      <c r="F35" s="16">
        <f>'03_Financial_MIS'!C6</f>
        <v>19.5</v>
      </c>
      <c r="G35" s="15">
        <f>'03_Financial_MIS'!D6</f>
        <v>14.230252950000001</v>
      </c>
      <c r="H35" s="15">
        <f>'03_Financial_MIS'!E6</f>
        <v>14.138752950000001</v>
      </c>
      <c r="I35" s="16">
        <f>'03_Financial_MIS'!F6</f>
        <v>9.1499999999999524</v>
      </c>
      <c r="J35" s="23">
        <f>'03_Financial_MIS'!G6</f>
        <v>4.6923076923076676</v>
      </c>
      <c r="K35" s="29" t="s">
        <v>29</v>
      </c>
      <c r="L35" s="30" t="s">
        <v>30</v>
      </c>
      <c r="M35" s="18"/>
    </row>
  </sheetData>
  <mergeCells count="50">
    <mergeCell ref="E5:G5"/>
    <mergeCell ref="K5:M5"/>
    <mergeCell ref="J32"/>
    <mergeCell ref="D35:E35"/>
    <mergeCell ref="L33:M33"/>
    <mergeCell ref="K33"/>
    <mergeCell ref="D32:E32"/>
    <mergeCell ref="F34"/>
    <mergeCell ref="H34"/>
    <mergeCell ref="H6:J6"/>
    <mergeCell ref="B5:D5"/>
    <mergeCell ref="B2:M3"/>
    <mergeCell ref="K32"/>
    <mergeCell ref="B35:C35"/>
    <mergeCell ref="L35:M35"/>
    <mergeCell ref="I32"/>
    <mergeCell ref="K6:M6"/>
    <mergeCell ref="H5:J5"/>
    <mergeCell ref="B34:C34"/>
    <mergeCell ref="K35"/>
    <mergeCell ref="D34:E34"/>
    <mergeCell ref="B7:D7"/>
    <mergeCell ref="G34"/>
    <mergeCell ref="I34"/>
    <mergeCell ref="J33"/>
    <mergeCell ref="B31:M31"/>
    <mergeCell ref="J35"/>
    <mergeCell ref="I33"/>
    <mergeCell ref="E7:G7"/>
    <mergeCell ref="B6:D6"/>
    <mergeCell ref="K7:M7"/>
    <mergeCell ref="G33"/>
    <mergeCell ref="J34"/>
    <mergeCell ref="L32:M32"/>
    <mergeCell ref="F32"/>
    <mergeCell ref="B32:C32"/>
    <mergeCell ref="B33:C33"/>
    <mergeCell ref="L34:M34"/>
    <mergeCell ref="E6:G6"/>
    <mergeCell ref="H7:J7"/>
    <mergeCell ref="K34"/>
    <mergeCell ref="H32"/>
    <mergeCell ref="D33:E33"/>
    <mergeCell ref="F33"/>
    <mergeCell ref="H33"/>
    <mergeCell ref="G32"/>
    <mergeCell ref="G35"/>
    <mergeCell ref="I35"/>
    <mergeCell ref="F35"/>
    <mergeCell ref="H3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zoomScale="69" workbookViewId="0"/>
  </sheetViews>
  <sheetFormatPr defaultRowHeight="14.5" x14ac:dyDescent="0.35"/>
  <cols>
    <col min="1" max="9" width="22" customWidth="1"/>
  </cols>
  <sheetData>
    <row r="1" spans="1:9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</row>
    <row r="2" spans="1:9" x14ac:dyDescent="0.35">
      <c r="A2" s="2" t="s">
        <v>40</v>
      </c>
      <c r="B2" s="3">
        <v>146541.54</v>
      </c>
      <c r="C2" s="3">
        <v>4299.38</v>
      </c>
      <c r="D2" s="4">
        <f t="shared" ref="D2:D31" si="0">C2/1000</f>
        <v>4.2993800000000002</v>
      </c>
      <c r="E2" s="3">
        <v>315357.94</v>
      </c>
      <c r="F2" s="3">
        <v>2028.85</v>
      </c>
      <c r="G2" s="4">
        <f t="shared" ref="G2:G31" si="1">F2/1000</f>
        <v>2.0288499999999998</v>
      </c>
      <c r="H2" s="4">
        <f t="shared" ref="H2:H31" si="2">G2-D2</f>
        <v>-2.2705300000000004</v>
      </c>
      <c r="I2" t="str">
        <f t="shared" ref="I2:I31" si="3">IF(H2&gt;0, "RTM Premium (Deficit)", "DAM Premium (Surplus)")</f>
        <v>DAM Premium (Surplus)</v>
      </c>
    </row>
    <row r="3" spans="1:9" x14ac:dyDescent="0.35">
      <c r="A3" s="2" t="s">
        <v>41</v>
      </c>
      <c r="B3" s="3">
        <v>169577.67</v>
      </c>
      <c r="C3" s="3">
        <v>2755.9</v>
      </c>
      <c r="D3" s="4">
        <f t="shared" si="0"/>
        <v>2.7559</v>
      </c>
      <c r="E3" s="3">
        <v>291110.76</v>
      </c>
      <c r="F3" s="3">
        <v>4045.77</v>
      </c>
      <c r="G3" s="4">
        <f t="shared" si="1"/>
        <v>4.0457700000000001</v>
      </c>
      <c r="H3" s="4">
        <f t="shared" si="2"/>
        <v>1.2898700000000001</v>
      </c>
      <c r="I3" t="str">
        <f t="shared" si="3"/>
        <v>RTM Premium (Deficit)</v>
      </c>
    </row>
    <row r="4" spans="1:9" x14ac:dyDescent="0.35">
      <c r="A4" s="2" t="s">
        <v>42</v>
      </c>
      <c r="B4" s="3">
        <v>203626.85</v>
      </c>
      <c r="C4" s="3">
        <v>5444.22</v>
      </c>
      <c r="D4" s="4">
        <f t="shared" si="0"/>
        <v>5.4442200000000005</v>
      </c>
      <c r="E4" s="3">
        <v>207550.47</v>
      </c>
      <c r="F4" s="3">
        <v>5966.91</v>
      </c>
      <c r="G4" s="4">
        <f t="shared" si="1"/>
        <v>5.9669099999999995</v>
      </c>
      <c r="H4" s="4">
        <f t="shared" si="2"/>
        <v>0.52268999999999899</v>
      </c>
      <c r="I4" t="str">
        <f t="shared" si="3"/>
        <v>RTM Premium (Deficit)</v>
      </c>
    </row>
    <row r="5" spans="1:9" x14ac:dyDescent="0.35">
      <c r="A5" s="2" t="s">
        <v>43</v>
      </c>
      <c r="B5" s="3">
        <v>179349.08</v>
      </c>
      <c r="C5" s="3">
        <v>7448.56</v>
      </c>
      <c r="D5" s="4">
        <f t="shared" si="0"/>
        <v>7.4485600000000005</v>
      </c>
      <c r="E5" s="3">
        <v>175660.52</v>
      </c>
      <c r="F5" s="3">
        <v>6388.59</v>
      </c>
      <c r="G5" s="4">
        <f t="shared" si="1"/>
        <v>6.3885899999999998</v>
      </c>
      <c r="H5" s="4">
        <f t="shared" si="2"/>
        <v>-1.0599700000000007</v>
      </c>
      <c r="I5" t="str">
        <f t="shared" si="3"/>
        <v>DAM Premium (Surplus)</v>
      </c>
    </row>
    <row r="6" spans="1:9" x14ac:dyDescent="0.35">
      <c r="A6" s="2" t="s">
        <v>44</v>
      </c>
      <c r="B6" s="3">
        <v>184623.35</v>
      </c>
      <c r="C6" s="3">
        <v>7652.12</v>
      </c>
      <c r="D6" s="4">
        <f t="shared" si="0"/>
        <v>7.65212</v>
      </c>
      <c r="E6" s="3">
        <v>158982.54999999999</v>
      </c>
      <c r="F6" s="3">
        <v>6931.1</v>
      </c>
      <c r="G6" s="4">
        <f t="shared" si="1"/>
        <v>6.9311000000000007</v>
      </c>
      <c r="H6" s="4">
        <f t="shared" si="2"/>
        <v>-0.72101999999999933</v>
      </c>
      <c r="I6" t="str">
        <f t="shared" si="3"/>
        <v>DAM Premium (Surplus)</v>
      </c>
    </row>
    <row r="7" spans="1:9" x14ac:dyDescent="0.35">
      <c r="A7" s="2" t="s">
        <v>45</v>
      </c>
      <c r="B7" s="3">
        <v>165473.29</v>
      </c>
      <c r="C7" s="3">
        <v>7426.52</v>
      </c>
      <c r="D7" s="4">
        <f t="shared" si="0"/>
        <v>7.42652</v>
      </c>
      <c r="E7" s="3">
        <v>148551.91</v>
      </c>
      <c r="F7" s="3">
        <v>7134.52</v>
      </c>
      <c r="G7" s="4">
        <f t="shared" si="1"/>
        <v>7.1345200000000002</v>
      </c>
      <c r="H7" s="4">
        <f t="shared" si="2"/>
        <v>-0.29199999999999982</v>
      </c>
      <c r="I7" t="str">
        <f t="shared" si="3"/>
        <v>DAM Premium (Surplus)</v>
      </c>
    </row>
    <row r="8" spans="1:9" x14ac:dyDescent="0.35">
      <c r="A8" s="2" t="s">
        <v>46</v>
      </c>
      <c r="B8" s="3">
        <v>154080.60999999999</v>
      </c>
      <c r="C8" s="3">
        <v>7169.79</v>
      </c>
      <c r="D8" s="4">
        <f t="shared" si="0"/>
        <v>7.1697899999999999</v>
      </c>
      <c r="E8" s="3">
        <v>139366.41</v>
      </c>
      <c r="F8" s="3">
        <v>7027.89</v>
      </c>
      <c r="G8" s="4">
        <f t="shared" si="1"/>
        <v>7.0278900000000002</v>
      </c>
      <c r="H8" s="4">
        <f t="shared" si="2"/>
        <v>-0.14189999999999969</v>
      </c>
      <c r="I8" t="str">
        <f t="shared" si="3"/>
        <v>DAM Premium (Surplus)</v>
      </c>
    </row>
    <row r="9" spans="1:9" x14ac:dyDescent="0.35">
      <c r="A9" s="2" t="s">
        <v>47</v>
      </c>
      <c r="B9" s="3">
        <v>130727.18</v>
      </c>
      <c r="C9" s="3">
        <v>7209.2</v>
      </c>
      <c r="D9" s="4">
        <f t="shared" si="0"/>
        <v>7.2092000000000001</v>
      </c>
      <c r="E9" s="3">
        <v>143106.54999999999</v>
      </c>
      <c r="F9" s="3">
        <v>7669.24</v>
      </c>
      <c r="G9" s="4">
        <f t="shared" si="1"/>
        <v>7.6692399999999994</v>
      </c>
      <c r="H9" s="4">
        <f t="shared" si="2"/>
        <v>0.46003999999999934</v>
      </c>
      <c r="I9" t="str">
        <f t="shared" si="3"/>
        <v>RTM Premium (Deficit)</v>
      </c>
    </row>
    <row r="10" spans="1:9" x14ac:dyDescent="0.35">
      <c r="A10" s="2" t="s">
        <v>48</v>
      </c>
      <c r="B10" s="3">
        <v>131123.46</v>
      </c>
      <c r="C10" s="3">
        <v>7064.7</v>
      </c>
      <c r="D10" s="4">
        <f t="shared" si="0"/>
        <v>7.0647000000000002</v>
      </c>
      <c r="E10" s="3">
        <v>139539</v>
      </c>
      <c r="F10" s="3">
        <v>7209.62</v>
      </c>
      <c r="G10" s="4">
        <f t="shared" si="1"/>
        <v>7.2096200000000001</v>
      </c>
      <c r="H10" s="4">
        <f t="shared" si="2"/>
        <v>0.14491999999999994</v>
      </c>
      <c r="I10" t="str">
        <f t="shared" si="3"/>
        <v>RTM Premium (Deficit)</v>
      </c>
    </row>
    <row r="11" spans="1:9" x14ac:dyDescent="0.35">
      <c r="A11" s="2" t="s">
        <v>49</v>
      </c>
      <c r="B11" s="3">
        <v>132980.60999999999</v>
      </c>
      <c r="C11" s="3">
        <v>7599.52</v>
      </c>
      <c r="D11" s="4">
        <f t="shared" si="0"/>
        <v>7.5995200000000001</v>
      </c>
      <c r="E11" s="3">
        <v>129980.1</v>
      </c>
      <c r="F11" s="3">
        <v>8009.22</v>
      </c>
      <c r="G11" s="4">
        <f t="shared" si="1"/>
        <v>8.0092200000000009</v>
      </c>
      <c r="H11" s="4">
        <f t="shared" si="2"/>
        <v>0.40970000000000084</v>
      </c>
      <c r="I11" t="str">
        <f t="shared" si="3"/>
        <v>RTM Premium (Deficit)</v>
      </c>
    </row>
    <row r="12" spans="1:9" x14ac:dyDescent="0.35">
      <c r="A12" s="2" t="s">
        <v>50</v>
      </c>
      <c r="B12" s="3">
        <v>132191.93</v>
      </c>
      <c r="C12" s="3">
        <v>7764.29</v>
      </c>
      <c r="D12" s="4">
        <f t="shared" si="0"/>
        <v>7.7642899999999999</v>
      </c>
      <c r="E12" s="3">
        <v>132768.51999999999</v>
      </c>
      <c r="F12" s="3">
        <v>7854.28</v>
      </c>
      <c r="G12" s="4">
        <f t="shared" si="1"/>
        <v>7.8542800000000002</v>
      </c>
      <c r="H12" s="4">
        <f t="shared" si="2"/>
        <v>8.9990000000000236E-2</v>
      </c>
      <c r="I12" t="str">
        <f t="shared" si="3"/>
        <v>RTM Premium (Deficit)</v>
      </c>
    </row>
    <row r="13" spans="1:9" x14ac:dyDescent="0.35">
      <c r="A13" s="2" t="s">
        <v>51</v>
      </c>
      <c r="B13" s="3">
        <v>151808.29</v>
      </c>
      <c r="C13" s="3">
        <v>7993.4</v>
      </c>
      <c r="D13" s="4">
        <f t="shared" si="0"/>
        <v>7.9933999999999994</v>
      </c>
      <c r="E13" s="3">
        <v>141719.76</v>
      </c>
      <c r="F13" s="3">
        <v>7868.11</v>
      </c>
      <c r="G13" s="4">
        <f t="shared" si="1"/>
        <v>7.8681099999999997</v>
      </c>
      <c r="H13" s="4">
        <f t="shared" si="2"/>
        <v>-0.12528999999999968</v>
      </c>
      <c r="I13" t="str">
        <f t="shared" si="3"/>
        <v>DAM Premium (Surplus)</v>
      </c>
    </row>
    <row r="14" spans="1:9" x14ac:dyDescent="0.35">
      <c r="A14" s="2" t="s">
        <v>52</v>
      </c>
      <c r="B14" s="3">
        <v>145883.95000000001</v>
      </c>
      <c r="C14" s="3">
        <v>8032.28</v>
      </c>
      <c r="D14" s="4">
        <f t="shared" si="0"/>
        <v>8.0322800000000001</v>
      </c>
      <c r="E14" s="3">
        <v>152411.38</v>
      </c>
      <c r="F14" s="3">
        <v>7843.9</v>
      </c>
      <c r="G14" s="4">
        <f t="shared" si="1"/>
        <v>7.8438999999999997</v>
      </c>
      <c r="H14" s="4">
        <f t="shared" si="2"/>
        <v>-0.18838000000000044</v>
      </c>
      <c r="I14" t="str">
        <f t="shared" si="3"/>
        <v>DAM Premium (Surplus)</v>
      </c>
    </row>
    <row r="15" spans="1:9" x14ac:dyDescent="0.35">
      <c r="A15" s="2" t="s">
        <v>53</v>
      </c>
      <c r="B15" s="3">
        <v>149789.6</v>
      </c>
      <c r="C15" s="3">
        <v>8039.27</v>
      </c>
      <c r="D15" s="4">
        <f t="shared" si="0"/>
        <v>8.0392700000000001</v>
      </c>
      <c r="E15" s="3">
        <v>165559.95000000001</v>
      </c>
      <c r="F15" s="3">
        <v>7775.48</v>
      </c>
      <c r="G15" s="4">
        <f t="shared" si="1"/>
        <v>7.7754799999999999</v>
      </c>
      <c r="H15" s="4">
        <f t="shared" si="2"/>
        <v>-0.26379000000000019</v>
      </c>
      <c r="I15" t="str">
        <f t="shared" si="3"/>
        <v>DAM Premium (Surplus)</v>
      </c>
    </row>
    <row r="16" spans="1:9" x14ac:dyDescent="0.35">
      <c r="A16" s="2" t="s">
        <v>54</v>
      </c>
      <c r="B16" s="3">
        <v>132338.29999999999</v>
      </c>
      <c r="C16" s="3">
        <v>8010.54</v>
      </c>
      <c r="D16" s="4">
        <f t="shared" si="0"/>
        <v>8.0105400000000007</v>
      </c>
      <c r="E16" s="3">
        <v>193539.72</v>
      </c>
      <c r="F16" s="3">
        <v>7385.61</v>
      </c>
      <c r="G16" s="4">
        <f t="shared" si="1"/>
        <v>7.3856099999999998</v>
      </c>
      <c r="H16" s="4">
        <f t="shared" si="2"/>
        <v>-0.62493000000000087</v>
      </c>
      <c r="I16" t="str">
        <f t="shared" si="3"/>
        <v>DAM Premium (Surplus)</v>
      </c>
    </row>
    <row r="17" spans="1:9" x14ac:dyDescent="0.35">
      <c r="A17" s="2" t="s">
        <v>55</v>
      </c>
      <c r="B17" s="3">
        <v>136255.38</v>
      </c>
      <c r="C17" s="3">
        <v>7616.85</v>
      </c>
      <c r="D17" s="4">
        <f t="shared" si="0"/>
        <v>7.6168500000000003</v>
      </c>
      <c r="E17" s="3">
        <v>228560.66</v>
      </c>
      <c r="F17" s="3">
        <v>5934.4</v>
      </c>
      <c r="G17" s="4">
        <f t="shared" si="1"/>
        <v>5.9343999999999992</v>
      </c>
      <c r="H17" s="4">
        <f t="shared" si="2"/>
        <v>-1.6824500000000011</v>
      </c>
      <c r="I17" t="str">
        <f t="shared" si="3"/>
        <v>DAM Premium (Surplus)</v>
      </c>
    </row>
    <row r="18" spans="1:9" x14ac:dyDescent="0.35">
      <c r="A18" s="2" t="s">
        <v>56</v>
      </c>
      <c r="B18" s="3">
        <v>142414.97</v>
      </c>
      <c r="C18" s="3">
        <v>7886.12</v>
      </c>
      <c r="D18" s="4">
        <f t="shared" si="0"/>
        <v>7.88612</v>
      </c>
      <c r="E18" s="3">
        <v>176995.45</v>
      </c>
      <c r="F18" s="3">
        <v>6008.02</v>
      </c>
      <c r="G18" s="4">
        <f t="shared" si="1"/>
        <v>6.0080200000000001</v>
      </c>
      <c r="H18" s="4">
        <f t="shared" si="2"/>
        <v>-1.8780999999999999</v>
      </c>
      <c r="I18" t="str">
        <f t="shared" si="3"/>
        <v>DAM Premium (Surplus)</v>
      </c>
    </row>
    <row r="19" spans="1:9" x14ac:dyDescent="0.35">
      <c r="A19" s="2" t="s">
        <v>57</v>
      </c>
      <c r="B19" s="3">
        <v>130212.15</v>
      </c>
      <c r="C19" s="3">
        <v>7682.6</v>
      </c>
      <c r="D19" s="4">
        <f t="shared" si="0"/>
        <v>7.6826000000000008</v>
      </c>
      <c r="E19" s="3">
        <v>161578.01</v>
      </c>
      <c r="F19" s="3">
        <v>7457.4</v>
      </c>
      <c r="G19" s="4">
        <f t="shared" si="1"/>
        <v>7.4573999999999998</v>
      </c>
      <c r="H19" s="4">
        <f t="shared" si="2"/>
        <v>-0.22520000000000095</v>
      </c>
      <c r="I19" t="str">
        <f t="shared" si="3"/>
        <v>DAM Premium (Surplus)</v>
      </c>
    </row>
    <row r="20" spans="1:9" x14ac:dyDescent="0.35">
      <c r="A20" s="2" t="s">
        <v>58</v>
      </c>
      <c r="B20" s="3">
        <v>122067.71</v>
      </c>
      <c r="C20" s="3">
        <v>7689.62</v>
      </c>
      <c r="D20" s="4">
        <f t="shared" si="0"/>
        <v>7.6896199999999997</v>
      </c>
      <c r="E20" s="3">
        <v>130003.64</v>
      </c>
      <c r="F20" s="3">
        <v>8450.06</v>
      </c>
      <c r="G20" s="4">
        <f t="shared" si="1"/>
        <v>8.4500599999999988</v>
      </c>
      <c r="H20" s="4">
        <f t="shared" si="2"/>
        <v>0.76043999999999912</v>
      </c>
      <c r="I20" t="str">
        <f t="shared" si="3"/>
        <v>RTM Premium (Deficit)</v>
      </c>
    </row>
    <row r="21" spans="1:9" x14ac:dyDescent="0.35">
      <c r="A21" s="2" t="s">
        <v>59</v>
      </c>
      <c r="B21" s="3">
        <v>106090.98</v>
      </c>
      <c r="C21" s="3">
        <v>8077.47</v>
      </c>
      <c r="D21" s="4">
        <f t="shared" si="0"/>
        <v>8.0774699999999999</v>
      </c>
      <c r="E21" s="3">
        <v>150779.24</v>
      </c>
      <c r="F21" s="3">
        <v>7927.65</v>
      </c>
      <c r="G21" s="4">
        <f t="shared" si="1"/>
        <v>7.9276499999999999</v>
      </c>
      <c r="H21" s="4">
        <f t="shared" si="2"/>
        <v>-0.14982000000000006</v>
      </c>
      <c r="I21" t="str">
        <f t="shared" si="3"/>
        <v>DAM Premium (Surplus)</v>
      </c>
    </row>
    <row r="22" spans="1:9" x14ac:dyDescent="0.35">
      <c r="A22" s="2" t="s">
        <v>60</v>
      </c>
      <c r="B22" s="3">
        <v>108161.11</v>
      </c>
      <c r="C22" s="3">
        <v>8181.52</v>
      </c>
      <c r="D22" s="4">
        <f t="shared" si="0"/>
        <v>8.1815200000000008</v>
      </c>
      <c r="E22" s="3">
        <v>189974.87</v>
      </c>
      <c r="F22" s="3">
        <v>7623.45</v>
      </c>
      <c r="G22" s="4">
        <f t="shared" si="1"/>
        <v>7.6234500000000001</v>
      </c>
      <c r="H22" s="4">
        <f t="shared" si="2"/>
        <v>-0.55807000000000073</v>
      </c>
      <c r="I22" t="str">
        <f t="shared" si="3"/>
        <v>DAM Premium (Surplus)</v>
      </c>
    </row>
    <row r="23" spans="1:9" x14ac:dyDescent="0.35">
      <c r="A23" s="2" t="s">
        <v>61</v>
      </c>
      <c r="B23" s="3">
        <v>122881.76</v>
      </c>
      <c r="C23" s="3">
        <v>8044.21</v>
      </c>
      <c r="D23" s="4">
        <f t="shared" si="0"/>
        <v>8.0442099999999996</v>
      </c>
      <c r="E23" s="3">
        <v>206352.21</v>
      </c>
      <c r="F23" s="3">
        <v>6750.66</v>
      </c>
      <c r="G23" s="4">
        <f t="shared" si="1"/>
        <v>6.7506599999999999</v>
      </c>
      <c r="H23" s="4">
        <f t="shared" si="2"/>
        <v>-1.2935499999999998</v>
      </c>
      <c r="I23" t="str">
        <f t="shared" si="3"/>
        <v>DAM Premium (Surplus)</v>
      </c>
    </row>
    <row r="24" spans="1:9" x14ac:dyDescent="0.35">
      <c r="A24" s="2" t="s">
        <v>62</v>
      </c>
      <c r="B24" s="3">
        <v>148189.44</v>
      </c>
      <c r="C24" s="3">
        <v>7557.4</v>
      </c>
      <c r="D24" s="4">
        <f t="shared" si="0"/>
        <v>7.5573999999999995</v>
      </c>
      <c r="E24" s="3">
        <v>218693.1</v>
      </c>
      <c r="F24" s="3">
        <v>4278.07</v>
      </c>
      <c r="G24" s="4">
        <f t="shared" si="1"/>
        <v>4.2780699999999996</v>
      </c>
      <c r="H24" s="4">
        <f t="shared" si="2"/>
        <v>-3.2793299999999999</v>
      </c>
      <c r="I24" t="str">
        <f t="shared" si="3"/>
        <v>DAM Premium (Surplus)</v>
      </c>
    </row>
    <row r="25" spans="1:9" x14ac:dyDescent="0.35">
      <c r="A25" s="2" t="s">
        <v>63</v>
      </c>
      <c r="B25" s="3">
        <v>174501.02</v>
      </c>
      <c r="C25" s="3">
        <v>7844.73</v>
      </c>
      <c r="D25" s="4">
        <f t="shared" si="0"/>
        <v>7.8447299999999993</v>
      </c>
      <c r="E25" s="3">
        <v>187011.71</v>
      </c>
      <c r="F25" s="3">
        <v>4404.5200000000004</v>
      </c>
      <c r="G25" s="4">
        <f t="shared" si="1"/>
        <v>4.4045200000000007</v>
      </c>
      <c r="H25" s="4">
        <f t="shared" si="2"/>
        <v>-3.4402099999999987</v>
      </c>
      <c r="I25" t="str">
        <f t="shared" si="3"/>
        <v>DAM Premium (Surplus)</v>
      </c>
    </row>
    <row r="26" spans="1:9" x14ac:dyDescent="0.35">
      <c r="A26" s="2" t="s">
        <v>64</v>
      </c>
      <c r="B26" s="3">
        <v>144434.29</v>
      </c>
      <c r="C26" s="3">
        <v>6520.7</v>
      </c>
      <c r="D26" s="4">
        <f t="shared" si="0"/>
        <v>6.5206999999999997</v>
      </c>
      <c r="E26" s="3">
        <v>212461.53</v>
      </c>
      <c r="F26" s="3">
        <v>2863.7</v>
      </c>
      <c r="G26" s="4">
        <f t="shared" si="1"/>
        <v>2.8636999999999997</v>
      </c>
      <c r="H26" s="4">
        <f t="shared" si="2"/>
        <v>-3.657</v>
      </c>
      <c r="I26" t="str">
        <f t="shared" si="3"/>
        <v>DAM Premium (Surplus)</v>
      </c>
    </row>
    <row r="27" spans="1:9" x14ac:dyDescent="0.35">
      <c r="A27" s="2" t="s">
        <v>65</v>
      </c>
      <c r="B27" s="3">
        <v>152760.59</v>
      </c>
      <c r="C27" s="3">
        <v>6121.68</v>
      </c>
      <c r="D27" s="4">
        <f t="shared" si="0"/>
        <v>6.1216800000000005</v>
      </c>
      <c r="E27" s="3">
        <v>182093.32</v>
      </c>
      <c r="F27" s="3">
        <v>4107.2</v>
      </c>
      <c r="G27" s="4">
        <f t="shared" si="1"/>
        <v>4.1071999999999997</v>
      </c>
      <c r="H27" s="4">
        <f t="shared" si="2"/>
        <v>-2.0144800000000007</v>
      </c>
      <c r="I27" t="str">
        <f t="shared" si="3"/>
        <v>DAM Premium (Surplus)</v>
      </c>
    </row>
    <row r="28" spans="1:9" x14ac:dyDescent="0.35">
      <c r="A28" s="2" t="s">
        <v>66</v>
      </c>
      <c r="B28" s="3">
        <v>164354.95000000001</v>
      </c>
      <c r="C28" s="3">
        <v>6897.68</v>
      </c>
      <c r="D28" s="4">
        <f t="shared" si="0"/>
        <v>6.8976800000000003</v>
      </c>
      <c r="E28" s="3">
        <v>202362.25</v>
      </c>
      <c r="F28" s="3">
        <v>4494.6899999999996</v>
      </c>
      <c r="G28" s="4">
        <f t="shared" si="1"/>
        <v>4.4946899999999994</v>
      </c>
      <c r="H28" s="4">
        <f t="shared" si="2"/>
        <v>-2.4029900000000008</v>
      </c>
      <c r="I28" t="str">
        <f t="shared" si="3"/>
        <v>DAM Premium (Surplus)</v>
      </c>
    </row>
    <row r="29" spans="1:9" x14ac:dyDescent="0.35">
      <c r="A29" s="2" t="s">
        <v>67</v>
      </c>
      <c r="B29" s="3">
        <v>165025.24</v>
      </c>
      <c r="C29" s="3">
        <v>6744.47</v>
      </c>
      <c r="D29" s="4">
        <f t="shared" si="0"/>
        <v>6.7444700000000006</v>
      </c>
      <c r="E29" s="3">
        <v>210870.71</v>
      </c>
      <c r="F29" s="3">
        <v>3973.72</v>
      </c>
      <c r="G29" s="4">
        <f t="shared" si="1"/>
        <v>3.9737199999999997</v>
      </c>
      <c r="H29" s="4">
        <f t="shared" si="2"/>
        <v>-2.7707500000000009</v>
      </c>
      <c r="I29" t="str">
        <f t="shared" si="3"/>
        <v>DAM Premium (Surplus)</v>
      </c>
    </row>
    <row r="30" spans="1:9" x14ac:dyDescent="0.35">
      <c r="A30" s="2" t="s">
        <v>68</v>
      </c>
      <c r="B30" s="3">
        <v>177410.96</v>
      </c>
      <c r="C30" s="3">
        <v>5768.3</v>
      </c>
      <c r="D30" s="4">
        <f t="shared" si="0"/>
        <v>5.7683</v>
      </c>
      <c r="E30" s="3">
        <v>201534.63</v>
      </c>
      <c r="F30" s="3">
        <v>4087.53</v>
      </c>
      <c r="G30" s="4">
        <f t="shared" si="1"/>
        <v>4.0875300000000001</v>
      </c>
      <c r="H30" s="4">
        <f t="shared" si="2"/>
        <v>-1.6807699999999999</v>
      </c>
      <c r="I30" t="str">
        <f t="shared" si="3"/>
        <v>DAM Premium (Surplus)</v>
      </c>
    </row>
    <row r="31" spans="1:9" x14ac:dyDescent="0.35">
      <c r="A31" s="2" t="s">
        <v>69</v>
      </c>
      <c r="B31" s="3">
        <v>160847.88</v>
      </c>
      <c r="C31" s="3">
        <v>3999.66</v>
      </c>
      <c r="D31" s="4">
        <f t="shared" si="0"/>
        <v>3.99966</v>
      </c>
      <c r="E31" s="3">
        <v>204945.35</v>
      </c>
      <c r="F31" s="3">
        <v>2774.37</v>
      </c>
      <c r="G31" s="4">
        <f t="shared" si="1"/>
        <v>2.7743699999999998</v>
      </c>
      <c r="H31" s="4">
        <f t="shared" si="2"/>
        <v>-1.2252900000000002</v>
      </c>
      <c r="I31" t="str">
        <f t="shared" si="3"/>
        <v>DAM Premium (Surplus)</v>
      </c>
    </row>
    <row r="32" spans="1:9" x14ac:dyDescent="0.35">
      <c r="A32" s="5" t="s">
        <v>70</v>
      </c>
      <c r="B32" s="3">
        <f t="shared" ref="B32:H32" si="4">AVERAGE(B2:B31)</f>
        <v>148857.47133333332</v>
      </c>
      <c r="C32" s="3">
        <f t="shared" si="4"/>
        <v>7018.0899999999983</v>
      </c>
      <c r="D32" s="4">
        <f t="shared" si="4"/>
        <v>7.0180900000000017</v>
      </c>
      <c r="E32" s="3">
        <f t="shared" si="4"/>
        <v>183314.07400000005</v>
      </c>
      <c r="F32" s="3">
        <f t="shared" si="4"/>
        <v>6075.8176666666677</v>
      </c>
      <c r="G32" s="4">
        <f t="shared" si="4"/>
        <v>6.0758176666666657</v>
      </c>
      <c r="H32" s="4">
        <f t="shared" si="4"/>
        <v>-0.9422723333333336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1"/>
  <sheetViews>
    <sheetView topLeftCell="A24" zoomScale="56" workbookViewId="0"/>
  </sheetViews>
  <sheetFormatPr defaultRowHeight="14.5" x14ac:dyDescent="0.35"/>
  <cols>
    <col min="1" max="13" width="20" customWidth="1"/>
  </cols>
  <sheetData>
    <row r="1" spans="1:13" x14ac:dyDescent="0.35">
      <c r="A1" s="1" t="s">
        <v>71</v>
      </c>
      <c r="B1" s="1" t="s">
        <v>31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</row>
    <row r="2" spans="1:13" x14ac:dyDescent="0.35">
      <c r="A2" s="2" t="s">
        <v>83</v>
      </c>
      <c r="B2" s="2" t="str">
        <f>'01_Daily_Market_Data'!A2</f>
        <v>26-09-2026</v>
      </c>
      <c r="C2" s="2" t="s">
        <v>19</v>
      </c>
      <c r="D2" t="s">
        <v>84</v>
      </c>
      <c r="E2" s="2" t="s">
        <v>85</v>
      </c>
      <c r="F2" s="6">
        <v>500</v>
      </c>
      <c r="G2" s="4">
        <f>'01_Daily_Market_Data'!D2</f>
        <v>4.2993800000000002</v>
      </c>
      <c r="H2" s="4">
        <v>0.45</v>
      </c>
      <c r="I2" s="4">
        <v>0.04</v>
      </c>
      <c r="J2" s="4">
        <f t="shared" ref="J2:J33" si="0">G2+H2+I2</f>
        <v>4.7893800000000004</v>
      </c>
      <c r="K2" s="3">
        <f t="shared" ref="K2:K33" si="1">F2*1000*(G2+H2)</f>
        <v>2374690</v>
      </c>
      <c r="L2" s="3">
        <f t="shared" ref="L2:L33" si="2">F2*1000*J2</f>
        <v>2394690</v>
      </c>
      <c r="M2" s="3">
        <f t="shared" ref="M2:M33" si="3">L2-K2</f>
        <v>20000</v>
      </c>
    </row>
    <row r="3" spans="1:13" x14ac:dyDescent="0.35">
      <c r="A3" s="2" t="s">
        <v>86</v>
      </c>
      <c r="B3" s="2" t="str">
        <f>'01_Daily_Market_Data'!A3</f>
        <v>27-09-2026</v>
      </c>
      <c r="C3" s="2" t="s">
        <v>19</v>
      </c>
      <c r="D3" t="s">
        <v>84</v>
      </c>
      <c r="E3" s="2" t="s">
        <v>85</v>
      </c>
      <c r="F3" s="6">
        <v>500</v>
      </c>
      <c r="G3" s="4">
        <f>'01_Daily_Market_Data'!D3</f>
        <v>2.7559</v>
      </c>
      <c r="H3" s="4">
        <v>0.45</v>
      </c>
      <c r="I3" s="4">
        <v>0.04</v>
      </c>
      <c r="J3" s="4">
        <f t="shared" si="0"/>
        <v>3.2459000000000002</v>
      </c>
      <c r="K3" s="3">
        <f t="shared" si="1"/>
        <v>1602950</v>
      </c>
      <c r="L3" s="3">
        <f t="shared" si="2"/>
        <v>1622950</v>
      </c>
      <c r="M3" s="3">
        <f t="shared" si="3"/>
        <v>20000</v>
      </c>
    </row>
    <row r="4" spans="1:13" x14ac:dyDescent="0.35">
      <c r="A4" s="2" t="s">
        <v>87</v>
      </c>
      <c r="B4" s="2" t="str">
        <f>'01_Daily_Market_Data'!A4</f>
        <v>28-09-2026</v>
      </c>
      <c r="C4" s="2" t="s">
        <v>19</v>
      </c>
      <c r="D4" t="s">
        <v>84</v>
      </c>
      <c r="E4" s="2" t="s">
        <v>85</v>
      </c>
      <c r="F4" s="6">
        <v>500</v>
      </c>
      <c r="G4" s="4">
        <f>'01_Daily_Market_Data'!D4</f>
        <v>5.4442200000000005</v>
      </c>
      <c r="H4" s="4">
        <v>0.45</v>
      </c>
      <c r="I4" s="4">
        <v>0.04</v>
      </c>
      <c r="J4" s="4">
        <f t="shared" si="0"/>
        <v>5.9342200000000007</v>
      </c>
      <c r="K4" s="3">
        <f t="shared" si="1"/>
        <v>2947110.0000000005</v>
      </c>
      <c r="L4" s="3">
        <f t="shared" si="2"/>
        <v>2967110.0000000005</v>
      </c>
      <c r="M4" s="3">
        <f t="shared" si="3"/>
        <v>20000</v>
      </c>
    </row>
    <row r="5" spans="1:13" x14ac:dyDescent="0.35">
      <c r="A5" s="2" t="s">
        <v>88</v>
      </c>
      <c r="B5" s="2" t="str">
        <f>'01_Daily_Market_Data'!A5</f>
        <v>29-09-2026</v>
      </c>
      <c r="C5" s="2" t="s">
        <v>19</v>
      </c>
      <c r="D5" t="s">
        <v>84</v>
      </c>
      <c r="E5" s="2" t="s">
        <v>85</v>
      </c>
      <c r="F5" s="6">
        <v>500</v>
      </c>
      <c r="G5" s="4">
        <f>'01_Daily_Market_Data'!D5</f>
        <v>7.4485600000000005</v>
      </c>
      <c r="H5" s="4">
        <v>0.45</v>
      </c>
      <c r="I5" s="4">
        <v>0.04</v>
      </c>
      <c r="J5" s="4">
        <f t="shared" si="0"/>
        <v>7.9385600000000007</v>
      </c>
      <c r="K5" s="3">
        <f t="shared" si="1"/>
        <v>3949280.0000000005</v>
      </c>
      <c r="L5" s="3">
        <f t="shared" si="2"/>
        <v>3969280.0000000005</v>
      </c>
      <c r="M5" s="3">
        <f t="shared" si="3"/>
        <v>20000</v>
      </c>
    </row>
    <row r="6" spans="1:13" x14ac:dyDescent="0.35">
      <c r="A6" s="2" t="s">
        <v>89</v>
      </c>
      <c r="B6" s="2" t="str">
        <f>'01_Daily_Market_Data'!A6</f>
        <v>30-09-2026</v>
      </c>
      <c r="C6" s="2" t="s">
        <v>19</v>
      </c>
      <c r="D6" t="s">
        <v>84</v>
      </c>
      <c r="E6" s="2" t="s">
        <v>85</v>
      </c>
      <c r="F6" s="6">
        <v>500</v>
      </c>
      <c r="G6" s="4">
        <f>'01_Daily_Market_Data'!D6</f>
        <v>7.65212</v>
      </c>
      <c r="H6" s="4">
        <v>0.45</v>
      </c>
      <c r="I6" s="4">
        <v>0.04</v>
      </c>
      <c r="J6" s="4">
        <f t="shared" si="0"/>
        <v>8.1421199999999985</v>
      </c>
      <c r="K6" s="3">
        <f t="shared" si="1"/>
        <v>4051059.9999999995</v>
      </c>
      <c r="L6" s="3">
        <f t="shared" si="2"/>
        <v>4071059.9999999991</v>
      </c>
      <c r="M6" s="3">
        <f t="shared" si="3"/>
        <v>19999.999999999534</v>
      </c>
    </row>
    <row r="7" spans="1:13" x14ac:dyDescent="0.35">
      <c r="A7" s="2" t="s">
        <v>90</v>
      </c>
      <c r="B7" s="2" t="str">
        <f>'01_Daily_Market_Data'!A7</f>
        <v>01-10-2026</v>
      </c>
      <c r="C7" s="2" t="s">
        <v>19</v>
      </c>
      <c r="D7" t="s">
        <v>84</v>
      </c>
      <c r="E7" s="2" t="s">
        <v>85</v>
      </c>
      <c r="F7" s="6">
        <v>500</v>
      </c>
      <c r="G7" s="4">
        <f>'01_Daily_Market_Data'!D7</f>
        <v>7.42652</v>
      </c>
      <c r="H7" s="4">
        <v>0.45</v>
      </c>
      <c r="I7" s="4">
        <v>0.04</v>
      </c>
      <c r="J7" s="4">
        <f t="shared" si="0"/>
        <v>7.9165200000000002</v>
      </c>
      <c r="K7" s="3">
        <f t="shared" si="1"/>
        <v>3938260</v>
      </c>
      <c r="L7" s="3">
        <f t="shared" si="2"/>
        <v>3958260</v>
      </c>
      <c r="M7" s="3">
        <f t="shared" si="3"/>
        <v>20000</v>
      </c>
    </row>
    <row r="8" spans="1:13" x14ac:dyDescent="0.35">
      <c r="A8" s="2" t="s">
        <v>91</v>
      </c>
      <c r="B8" s="2" t="str">
        <f>'01_Daily_Market_Data'!A8</f>
        <v>02-10-2026</v>
      </c>
      <c r="C8" s="2" t="s">
        <v>19</v>
      </c>
      <c r="D8" t="s">
        <v>84</v>
      </c>
      <c r="E8" s="2" t="s">
        <v>85</v>
      </c>
      <c r="F8" s="6">
        <v>500</v>
      </c>
      <c r="G8" s="4">
        <f>'01_Daily_Market_Data'!D8</f>
        <v>7.1697899999999999</v>
      </c>
      <c r="H8" s="4">
        <v>0.45</v>
      </c>
      <c r="I8" s="4">
        <v>0.04</v>
      </c>
      <c r="J8" s="4">
        <f t="shared" si="0"/>
        <v>7.6597900000000001</v>
      </c>
      <c r="K8" s="3">
        <f t="shared" si="1"/>
        <v>3809895</v>
      </c>
      <c r="L8" s="3">
        <f t="shared" si="2"/>
        <v>3829895</v>
      </c>
      <c r="M8" s="3">
        <f t="shared" si="3"/>
        <v>20000</v>
      </c>
    </row>
    <row r="9" spans="1:13" x14ac:dyDescent="0.35">
      <c r="A9" s="2" t="s">
        <v>92</v>
      </c>
      <c r="B9" s="2" t="str">
        <f>'01_Daily_Market_Data'!A9</f>
        <v>03-10-2026</v>
      </c>
      <c r="C9" s="2" t="s">
        <v>19</v>
      </c>
      <c r="D9" t="s">
        <v>84</v>
      </c>
      <c r="E9" s="2" t="s">
        <v>85</v>
      </c>
      <c r="F9" s="6">
        <v>500</v>
      </c>
      <c r="G9" s="4">
        <f>'01_Daily_Market_Data'!D9</f>
        <v>7.2092000000000001</v>
      </c>
      <c r="H9" s="4">
        <v>0.45</v>
      </c>
      <c r="I9" s="4">
        <v>0.04</v>
      </c>
      <c r="J9" s="4">
        <f t="shared" si="0"/>
        <v>7.6992000000000003</v>
      </c>
      <c r="K9" s="3">
        <f t="shared" si="1"/>
        <v>3829600</v>
      </c>
      <c r="L9" s="3">
        <f t="shared" si="2"/>
        <v>3849600</v>
      </c>
      <c r="M9" s="3">
        <f t="shared" si="3"/>
        <v>20000</v>
      </c>
    </row>
    <row r="10" spans="1:13" x14ac:dyDescent="0.35">
      <c r="A10" s="2" t="s">
        <v>93</v>
      </c>
      <c r="B10" s="2" t="str">
        <f>'01_Daily_Market_Data'!A10</f>
        <v>04-10-2026</v>
      </c>
      <c r="C10" s="2" t="s">
        <v>19</v>
      </c>
      <c r="D10" t="s">
        <v>84</v>
      </c>
      <c r="E10" s="2" t="s">
        <v>85</v>
      </c>
      <c r="F10" s="6">
        <v>500</v>
      </c>
      <c r="G10" s="4">
        <f>'01_Daily_Market_Data'!D10</f>
        <v>7.0647000000000002</v>
      </c>
      <c r="H10" s="4">
        <v>0.45</v>
      </c>
      <c r="I10" s="4">
        <v>0.04</v>
      </c>
      <c r="J10" s="4">
        <f t="shared" si="0"/>
        <v>7.5547000000000004</v>
      </c>
      <c r="K10" s="3">
        <f t="shared" si="1"/>
        <v>3757350</v>
      </c>
      <c r="L10" s="3">
        <f t="shared" si="2"/>
        <v>3777350</v>
      </c>
      <c r="M10" s="3">
        <f t="shared" si="3"/>
        <v>20000</v>
      </c>
    </row>
    <row r="11" spans="1:13" x14ac:dyDescent="0.35">
      <c r="A11" s="2" t="s">
        <v>94</v>
      </c>
      <c r="B11" s="2" t="str">
        <f>'01_Daily_Market_Data'!A11</f>
        <v>05-10-2026</v>
      </c>
      <c r="C11" s="2" t="s">
        <v>19</v>
      </c>
      <c r="D11" t="s">
        <v>84</v>
      </c>
      <c r="E11" s="2" t="s">
        <v>85</v>
      </c>
      <c r="F11" s="6">
        <v>500</v>
      </c>
      <c r="G11" s="4">
        <f>'01_Daily_Market_Data'!D11</f>
        <v>7.5995200000000001</v>
      </c>
      <c r="H11" s="4">
        <v>0.45</v>
      </c>
      <c r="I11" s="4">
        <v>0.04</v>
      </c>
      <c r="J11" s="4">
        <f t="shared" si="0"/>
        <v>8.0895199999999985</v>
      </c>
      <c r="K11" s="3">
        <f t="shared" si="1"/>
        <v>4024759.9999999995</v>
      </c>
      <c r="L11" s="3">
        <f t="shared" si="2"/>
        <v>4044759.9999999991</v>
      </c>
      <c r="M11" s="3">
        <f t="shared" si="3"/>
        <v>19999.999999999534</v>
      </c>
    </row>
    <row r="12" spans="1:13" x14ac:dyDescent="0.35">
      <c r="A12" s="2" t="s">
        <v>95</v>
      </c>
      <c r="B12" s="2" t="str">
        <f>'01_Daily_Market_Data'!A12</f>
        <v>06-10-2026</v>
      </c>
      <c r="C12" s="2" t="s">
        <v>19</v>
      </c>
      <c r="D12" t="s">
        <v>84</v>
      </c>
      <c r="E12" s="2" t="s">
        <v>85</v>
      </c>
      <c r="F12" s="6">
        <v>500</v>
      </c>
      <c r="G12" s="4">
        <f>'01_Daily_Market_Data'!D12</f>
        <v>7.7642899999999999</v>
      </c>
      <c r="H12" s="4">
        <v>0.45</v>
      </c>
      <c r="I12" s="4">
        <v>0.04</v>
      </c>
      <c r="J12" s="4">
        <f t="shared" si="0"/>
        <v>8.2542899999999992</v>
      </c>
      <c r="K12" s="3">
        <f t="shared" si="1"/>
        <v>4107145</v>
      </c>
      <c r="L12" s="3">
        <f t="shared" si="2"/>
        <v>4127144.9999999995</v>
      </c>
      <c r="M12" s="3">
        <f t="shared" si="3"/>
        <v>19999.999999999534</v>
      </c>
    </row>
    <row r="13" spans="1:13" x14ac:dyDescent="0.35">
      <c r="A13" s="2" t="s">
        <v>96</v>
      </c>
      <c r="B13" s="2" t="str">
        <f>'01_Daily_Market_Data'!A13</f>
        <v>07-10-2026</v>
      </c>
      <c r="C13" s="2" t="s">
        <v>19</v>
      </c>
      <c r="D13" t="s">
        <v>84</v>
      </c>
      <c r="E13" s="2" t="s">
        <v>85</v>
      </c>
      <c r="F13" s="6">
        <v>500</v>
      </c>
      <c r="G13" s="4">
        <f>'01_Daily_Market_Data'!D13</f>
        <v>7.9933999999999994</v>
      </c>
      <c r="H13" s="4">
        <v>0.45</v>
      </c>
      <c r="I13" s="4">
        <v>0.04</v>
      </c>
      <c r="J13" s="4">
        <f t="shared" si="0"/>
        <v>8.4833999999999978</v>
      </c>
      <c r="K13" s="3">
        <f t="shared" si="1"/>
        <v>4221699.9999999991</v>
      </c>
      <c r="L13" s="3">
        <f t="shared" si="2"/>
        <v>4241699.9999999991</v>
      </c>
      <c r="M13" s="3">
        <f t="shared" si="3"/>
        <v>20000</v>
      </c>
    </row>
    <row r="14" spans="1:13" x14ac:dyDescent="0.35">
      <c r="A14" s="2" t="s">
        <v>97</v>
      </c>
      <c r="B14" s="2" t="str">
        <f>'01_Daily_Market_Data'!A14</f>
        <v>08-10-2026</v>
      </c>
      <c r="C14" s="2" t="s">
        <v>19</v>
      </c>
      <c r="D14" t="s">
        <v>84</v>
      </c>
      <c r="E14" s="2" t="s">
        <v>85</v>
      </c>
      <c r="F14" s="6">
        <v>500</v>
      </c>
      <c r="G14" s="4">
        <f>'01_Daily_Market_Data'!D14</f>
        <v>8.0322800000000001</v>
      </c>
      <c r="H14" s="4">
        <v>0.45</v>
      </c>
      <c r="I14" s="4">
        <v>0.04</v>
      </c>
      <c r="J14" s="4">
        <f t="shared" si="0"/>
        <v>8.5222799999999985</v>
      </c>
      <c r="K14" s="3">
        <f t="shared" si="1"/>
        <v>4241140</v>
      </c>
      <c r="L14" s="3">
        <f t="shared" si="2"/>
        <v>4261139.9999999991</v>
      </c>
      <c r="M14" s="3">
        <f t="shared" si="3"/>
        <v>19999.999999999069</v>
      </c>
    </row>
    <row r="15" spans="1:13" x14ac:dyDescent="0.35">
      <c r="A15" s="2" t="s">
        <v>98</v>
      </c>
      <c r="B15" s="2" t="str">
        <f>'01_Daily_Market_Data'!A15</f>
        <v>09-10-2026</v>
      </c>
      <c r="C15" s="2" t="s">
        <v>19</v>
      </c>
      <c r="D15" t="s">
        <v>84</v>
      </c>
      <c r="E15" s="2" t="s">
        <v>85</v>
      </c>
      <c r="F15" s="6">
        <v>500</v>
      </c>
      <c r="G15" s="4">
        <f>'01_Daily_Market_Data'!D15</f>
        <v>8.0392700000000001</v>
      </c>
      <c r="H15" s="4">
        <v>0.45</v>
      </c>
      <c r="I15" s="4">
        <v>0.04</v>
      </c>
      <c r="J15" s="4">
        <f t="shared" si="0"/>
        <v>8.5292699999999986</v>
      </c>
      <c r="K15" s="3">
        <f t="shared" si="1"/>
        <v>4244635</v>
      </c>
      <c r="L15" s="3">
        <f t="shared" si="2"/>
        <v>4264634.9999999991</v>
      </c>
      <c r="M15" s="3">
        <f t="shared" si="3"/>
        <v>19999.999999999069</v>
      </c>
    </row>
    <row r="16" spans="1:13" x14ac:dyDescent="0.35">
      <c r="A16" s="2" t="s">
        <v>99</v>
      </c>
      <c r="B16" s="2" t="str">
        <f>'01_Daily_Market_Data'!A16</f>
        <v>10-10-2026</v>
      </c>
      <c r="C16" s="2" t="s">
        <v>19</v>
      </c>
      <c r="D16" t="s">
        <v>84</v>
      </c>
      <c r="E16" s="2" t="s">
        <v>85</v>
      </c>
      <c r="F16" s="6">
        <v>500</v>
      </c>
      <c r="G16" s="4">
        <f>'01_Daily_Market_Data'!D16</f>
        <v>8.0105400000000007</v>
      </c>
      <c r="H16" s="4">
        <v>0.45</v>
      </c>
      <c r="I16" s="4">
        <v>0.04</v>
      </c>
      <c r="J16" s="4">
        <f t="shared" si="0"/>
        <v>8.5005399999999991</v>
      </c>
      <c r="K16" s="3">
        <f t="shared" si="1"/>
        <v>4230270</v>
      </c>
      <c r="L16" s="3">
        <f t="shared" si="2"/>
        <v>4250270</v>
      </c>
      <c r="M16" s="3">
        <f t="shared" si="3"/>
        <v>20000</v>
      </c>
    </row>
    <row r="17" spans="1:13" x14ac:dyDescent="0.35">
      <c r="A17" s="2" t="s">
        <v>100</v>
      </c>
      <c r="B17" s="2" t="str">
        <f>'01_Daily_Market_Data'!A17</f>
        <v>11-10-2026</v>
      </c>
      <c r="C17" s="2" t="s">
        <v>19</v>
      </c>
      <c r="D17" t="s">
        <v>84</v>
      </c>
      <c r="E17" s="2" t="s">
        <v>85</v>
      </c>
      <c r="F17" s="6">
        <v>500</v>
      </c>
      <c r="G17" s="4">
        <f>'01_Daily_Market_Data'!D17</f>
        <v>7.6168500000000003</v>
      </c>
      <c r="H17" s="4">
        <v>0.45</v>
      </c>
      <c r="I17" s="4">
        <v>0.04</v>
      </c>
      <c r="J17" s="4">
        <f t="shared" si="0"/>
        <v>8.1068499999999997</v>
      </c>
      <c r="K17" s="3">
        <f t="shared" si="1"/>
        <v>4033425.0000000005</v>
      </c>
      <c r="L17" s="3">
        <f t="shared" si="2"/>
        <v>4053425</v>
      </c>
      <c r="M17" s="3">
        <f t="shared" si="3"/>
        <v>19999.999999999534</v>
      </c>
    </row>
    <row r="18" spans="1:13" x14ac:dyDescent="0.35">
      <c r="A18" s="2" t="s">
        <v>101</v>
      </c>
      <c r="B18" s="2" t="str">
        <f>'01_Daily_Market_Data'!A18</f>
        <v>12-10-2026</v>
      </c>
      <c r="C18" s="2" t="s">
        <v>19</v>
      </c>
      <c r="D18" t="s">
        <v>84</v>
      </c>
      <c r="E18" s="2" t="s">
        <v>85</v>
      </c>
      <c r="F18" s="6">
        <v>500</v>
      </c>
      <c r="G18" s="4">
        <f>'01_Daily_Market_Data'!D18</f>
        <v>7.88612</v>
      </c>
      <c r="H18" s="4">
        <v>0.45</v>
      </c>
      <c r="I18" s="4">
        <v>0.04</v>
      </c>
      <c r="J18" s="4">
        <f t="shared" si="0"/>
        <v>8.3761199999999985</v>
      </c>
      <c r="K18" s="3">
        <f t="shared" si="1"/>
        <v>4168059.9999999995</v>
      </c>
      <c r="L18" s="3">
        <f t="shared" si="2"/>
        <v>4188059.9999999991</v>
      </c>
      <c r="M18" s="3">
        <f t="shared" si="3"/>
        <v>19999.999999999534</v>
      </c>
    </row>
    <row r="19" spans="1:13" x14ac:dyDescent="0.35">
      <c r="A19" s="2" t="s">
        <v>102</v>
      </c>
      <c r="B19" s="2" t="str">
        <f>'01_Daily_Market_Data'!A19</f>
        <v>13-10-2026</v>
      </c>
      <c r="C19" s="2" t="s">
        <v>19</v>
      </c>
      <c r="D19" t="s">
        <v>84</v>
      </c>
      <c r="E19" s="2" t="s">
        <v>85</v>
      </c>
      <c r="F19" s="6">
        <v>500</v>
      </c>
      <c r="G19" s="4">
        <f>'01_Daily_Market_Data'!D19</f>
        <v>7.6826000000000008</v>
      </c>
      <c r="H19" s="4">
        <v>0.45</v>
      </c>
      <c r="I19" s="4">
        <v>0.04</v>
      </c>
      <c r="J19" s="4">
        <f t="shared" si="0"/>
        <v>8.1725999999999992</v>
      </c>
      <c r="K19" s="3">
        <f t="shared" si="1"/>
        <v>4066300</v>
      </c>
      <c r="L19" s="3">
        <f t="shared" si="2"/>
        <v>4086299.9999999995</v>
      </c>
      <c r="M19" s="3">
        <f t="shared" si="3"/>
        <v>19999.999999999534</v>
      </c>
    </row>
    <row r="20" spans="1:13" x14ac:dyDescent="0.35">
      <c r="A20" s="2" t="s">
        <v>103</v>
      </c>
      <c r="B20" s="2" t="str">
        <f>'01_Daily_Market_Data'!A20</f>
        <v>14-10-2026</v>
      </c>
      <c r="C20" s="2" t="s">
        <v>19</v>
      </c>
      <c r="D20" t="s">
        <v>84</v>
      </c>
      <c r="E20" s="2" t="s">
        <v>85</v>
      </c>
      <c r="F20" s="6">
        <v>500</v>
      </c>
      <c r="G20" s="4">
        <f>'01_Daily_Market_Data'!D20</f>
        <v>7.6896199999999997</v>
      </c>
      <c r="H20" s="4">
        <v>0.45</v>
      </c>
      <c r="I20" s="4">
        <v>0.04</v>
      </c>
      <c r="J20" s="4">
        <f t="shared" si="0"/>
        <v>8.1796199999999981</v>
      </c>
      <c r="K20" s="3">
        <f t="shared" si="1"/>
        <v>4069809.9999999995</v>
      </c>
      <c r="L20" s="3">
        <f t="shared" si="2"/>
        <v>4089809.9999999991</v>
      </c>
      <c r="M20" s="3">
        <f t="shared" si="3"/>
        <v>19999.999999999534</v>
      </c>
    </row>
    <row r="21" spans="1:13" x14ac:dyDescent="0.35">
      <c r="A21" s="2" t="s">
        <v>104</v>
      </c>
      <c r="B21" s="2" t="str">
        <f>'01_Daily_Market_Data'!A21</f>
        <v>15-10-2026</v>
      </c>
      <c r="C21" s="2" t="s">
        <v>19</v>
      </c>
      <c r="D21" t="s">
        <v>84</v>
      </c>
      <c r="E21" s="2" t="s">
        <v>85</v>
      </c>
      <c r="F21" s="6">
        <v>500</v>
      </c>
      <c r="G21" s="4">
        <f>'01_Daily_Market_Data'!D21</f>
        <v>8.0774699999999999</v>
      </c>
      <c r="H21" s="4">
        <v>0.45</v>
      </c>
      <c r="I21" s="4">
        <v>0.04</v>
      </c>
      <c r="J21" s="4">
        <f t="shared" si="0"/>
        <v>8.5674699999999984</v>
      </c>
      <c r="K21" s="3">
        <f t="shared" si="1"/>
        <v>4263735</v>
      </c>
      <c r="L21" s="3">
        <f t="shared" si="2"/>
        <v>4283734.9999999991</v>
      </c>
      <c r="M21" s="3">
        <f t="shared" si="3"/>
        <v>19999.999999999069</v>
      </c>
    </row>
    <row r="22" spans="1:13" x14ac:dyDescent="0.35">
      <c r="A22" s="2" t="s">
        <v>105</v>
      </c>
      <c r="B22" s="2" t="str">
        <f>'01_Daily_Market_Data'!A22</f>
        <v>16-10-2026</v>
      </c>
      <c r="C22" s="2" t="s">
        <v>19</v>
      </c>
      <c r="D22" t="s">
        <v>84</v>
      </c>
      <c r="E22" s="2" t="s">
        <v>85</v>
      </c>
      <c r="F22" s="6">
        <v>500</v>
      </c>
      <c r="G22" s="4">
        <f>'01_Daily_Market_Data'!D22</f>
        <v>8.1815200000000008</v>
      </c>
      <c r="H22" s="4">
        <v>0.45</v>
      </c>
      <c r="I22" s="4">
        <v>0.04</v>
      </c>
      <c r="J22" s="4">
        <f t="shared" si="0"/>
        <v>8.6715199999999992</v>
      </c>
      <c r="K22" s="3">
        <f t="shared" si="1"/>
        <v>4315760</v>
      </c>
      <c r="L22" s="3">
        <f t="shared" si="2"/>
        <v>4335760</v>
      </c>
      <c r="M22" s="3">
        <f t="shared" si="3"/>
        <v>20000</v>
      </c>
    </row>
    <row r="23" spans="1:13" x14ac:dyDescent="0.35">
      <c r="A23" s="2" t="s">
        <v>106</v>
      </c>
      <c r="B23" s="2" t="str">
        <f>'01_Daily_Market_Data'!A23</f>
        <v>17-10-2026</v>
      </c>
      <c r="C23" s="2" t="s">
        <v>19</v>
      </c>
      <c r="D23" t="s">
        <v>84</v>
      </c>
      <c r="E23" s="2" t="s">
        <v>85</v>
      </c>
      <c r="F23" s="6">
        <v>500</v>
      </c>
      <c r="G23" s="4">
        <f>'01_Daily_Market_Data'!D23</f>
        <v>8.0442099999999996</v>
      </c>
      <c r="H23" s="4">
        <v>0.45</v>
      </c>
      <c r="I23" s="4">
        <v>0.04</v>
      </c>
      <c r="J23" s="4">
        <f t="shared" si="0"/>
        <v>8.5342099999999981</v>
      </c>
      <c r="K23" s="3">
        <f t="shared" si="1"/>
        <v>4247104.9999999991</v>
      </c>
      <c r="L23" s="3">
        <f t="shared" si="2"/>
        <v>4267104.9999999991</v>
      </c>
      <c r="M23" s="3">
        <f t="shared" si="3"/>
        <v>20000</v>
      </c>
    </row>
    <row r="24" spans="1:13" x14ac:dyDescent="0.35">
      <c r="A24" s="2" t="s">
        <v>107</v>
      </c>
      <c r="B24" s="2" t="str">
        <f>'01_Daily_Market_Data'!A24</f>
        <v>18-10-2026</v>
      </c>
      <c r="C24" s="2" t="s">
        <v>19</v>
      </c>
      <c r="D24" t="s">
        <v>84</v>
      </c>
      <c r="E24" s="2" t="s">
        <v>85</v>
      </c>
      <c r="F24" s="6">
        <v>500</v>
      </c>
      <c r="G24" s="4">
        <f>'01_Daily_Market_Data'!D24</f>
        <v>7.5573999999999995</v>
      </c>
      <c r="H24" s="4">
        <v>0.45</v>
      </c>
      <c r="I24" s="4">
        <v>0.04</v>
      </c>
      <c r="J24" s="4">
        <f t="shared" si="0"/>
        <v>8.0473999999999979</v>
      </c>
      <c r="K24" s="3">
        <f t="shared" si="1"/>
        <v>4003699.9999999995</v>
      </c>
      <c r="L24" s="3">
        <f t="shared" si="2"/>
        <v>4023699.9999999991</v>
      </c>
      <c r="M24" s="3">
        <f t="shared" si="3"/>
        <v>19999.999999999534</v>
      </c>
    </row>
    <row r="25" spans="1:13" x14ac:dyDescent="0.35">
      <c r="A25" s="2" t="s">
        <v>108</v>
      </c>
      <c r="B25" s="2" t="str">
        <f>'01_Daily_Market_Data'!A25</f>
        <v>19-10-2026</v>
      </c>
      <c r="C25" s="2" t="s">
        <v>19</v>
      </c>
      <c r="D25" t="s">
        <v>84</v>
      </c>
      <c r="E25" s="2" t="s">
        <v>85</v>
      </c>
      <c r="F25" s="6">
        <v>500</v>
      </c>
      <c r="G25" s="4">
        <f>'01_Daily_Market_Data'!D25</f>
        <v>7.8447299999999993</v>
      </c>
      <c r="H25" s="4">
        <v>0.45</v>
      </c>
      <c r="I25" s="4">
        <v>0.04</v>
      </c>
      <c r="J25" s="4">
        <f t="shared" si="0"/>
        <v>8.3347299999999986</v>
      </c>
      <c r="K25" s="3">
        <f t="shared" si="1"/>
        <v>4147364.9999999995</v>
      </c>
      <c r="L25" s="3">
        <f t="shared" si="2"/>
        <v>4167364.9999999995</v>
      </c>
      <c r="M25" s="3">
        <f t="shared" si="3"/>
        <v>20000</v>
      </c>
    </row>
    <row r="26" spans="1:13" x14ac:dyDescent="0.35">
      <c r="A26" s="2" t="s">
        <v>109</v>
      </c>
      <c r="B26" s="2" t="str">
        <f>'01_Daily_Market_Data'!A26</f>
        <v>20-10-2026</v>
      </c>
      <c r="C26" s="2" t="s">
        <v>19</v>
      </c>
      <c r="D26" t="s">
        <v>84</v>
      </c>
      <c r="E26" s="2" t="s">
        <v>85</v>
      </c>
      <c r="F26" s="6">
        <v>500</v>
      </c>
      <c r="G26" s="4">
        <f>'01_Daily_Market_Data'!D26</f>
        <v>6.5206999999999997</v>
      </c>
      <c r="H26" s="4">
        <v>0.45</v>
      </c>
      <c r="I26" s="4">
        <v>0.04</v>
      </c>
      <c r="J26" s="4">
        <f t="shared" si="0"/>
        <v>7.0106999999999999</v>
      </c>
      <c r="K26" s="3">
        <f t="shared" si="1"/>
        <v>3485350</v>
      </c>
      <c r="L26" s="3">
        <f t="shared" si="2"/>
        <v>3505350</v>
      </c>
      <c r="M26" s="3">
        <f t="shared" si="3"/>
        <v>20000</v>
      </c>
    </row>
    <row r="27" spans="1:13" x14ac:dyDescent="0.35">
      <c r="A27" s="2" t="s">
        <v>110</v>
      </c>
      <c r="B27" s="2" t="str">
        <f>'01_Daily_Market_Data'!A27</f>
        <v>21-10-2026</v>
      </c>
      <c r="C27" s="2" t="s">
        <v>19</v>
      </c>
      <c r="D27" t="s">
        <v>84</v>
      </c>
      <c r="E27" s="2" t="s">
        <v>85</v>
      </c>
      <c r="F27" s="6">
        <v>500</v>
      </c>
      <c r="G27" s="4">
        <f>'01_Daily_Market_Data'!D27</f>
        <v>6.1216800000000005</v>
      </c>
      <c r="H27" s="4">
        <v>0.45</v>
      </c>
      <c r="I27" s="4">
        <v>0.04</v>
      </c>
      <c r="J27" s="4">
        <f t="shared" si="0"/>
        <v>6.6116800000000007</v>
      </c>
      <c r="K27" s="3">
        <f t="shared" si="1"/>
        <v>3285840.0000000005</v>
      </c>
      <c r="L27" s="3">
        <f t="shared" si="2"/>
        <v>3305840.0000000005</v>
      </c>
      <c r="M27" s="3">
        <f t="shared" si="3"/>
        <v>20000</v>
      </c>
    </row>
    <row r="28" spans="1:13" x14ac:dyDescent="0.35">
      <c r="A28" s="2" t="s">
        <v>111</v>
      </c>
      <c r="B28" s="2" t="str">
        <f>'01_Daily_Market_Data'!A28</f>
        <v>22-10-2026</v>
      </c>
      <c r="C28" s="2" t="s">
        <v>19</v>
      </c>
      <c r="D28" t="s">
        <v>84</v>
      </c>
      <c r="E28" s="2" t="s">
        <v>85</v>
      </c>
      <c r="F28" s="6">
        <v>500</v>
      </c>
      <c r="G28" s="4">
        <f>'01_Daily_Market_Data'!D28</f>
        <v>6.8976800000000003</v>
      </c>
      <c r="H28" s="4">
        <v>0.45</v>
      </c>
      <c r="I28" s="4">
        <v>0.04</v>
      </c>
      <c r="J28" s="4">
        <f t="shared" si="0"/>
        <v>7.3876800000000005</v>
      </c>
      <c r="K28" s="3">
        <f t="shared" si="1"/>
        <v>3673840</v>
      </c>
      <c r="L28" s="3">
        <f t="shared" si="2"/>
        <v>3693840.0000000005</v>
      </c>
      <c r="M28" s="3">
        <f t="shared" si="3"/>
        <v>20000.000000000466</v>
      </c>
    </row>
    <row r="29" spans="1:13" x14ac:dyDescent="0.35">
      <c r="A29" s="2" t="s">
        <v>112</v>
      </c>
      <c r="B29" s="2" t="str">
        <f>'01_Daily_Market_Data'!A29</f>
        <v>23-10-2026</v>
      </c>
      <c r="C29" s="2" t="s">
        <v>19</v>
      </c>
      <c r="D29" t="s">
        <v>84</v>
      </c>
      <c r="E29" s="2" t="s">
        <v>85</v>
      </c>
      <c r="F29" s="6">
        <v>500</v>
      </c>
      <c r="G29" s="4">
        <f>'01_Daily_Market_Data'!D29</f>
        <v>6.7444700000000006</v>
      </c>
      <c r="H29" s="4">
        <v>0.45</v>
      </c>
      <c r="I29" s="4">
        <v>0.04</v>
      </c>
      <c r="J29" s="4">
        <f t="shared" si="0"/>
        <v>7.2344700000000008</v>
      </c>
      <c r="K29" s="3">
        <f t="shared" si="1"/>
        <v>3597235.0000000005</v>
      </c>
      <c r="L29" s="3">
        <f t="shared" si="2"/>
        <v>3617235.0000000005</v>
      </c>
      <c r="M29" s="3">
        <f t="shared" si="3"/>
        <v>20000</v>
      </c>
    </row>
    <row r="30" spans="1:13" x14ac:dyDescent="0.35">
      <c r="A30" s="2" t="s">
        <v>113</v>
      </c>
      <c r="B30" s="2" t="str">
        <f>'01_Daily_Market_Data'!A30</f>
        <v>24-10-2026</v>
      </c>
      <c r="C30" s="2" t="s">
        <v>19</v>
      </c>
      <c r="D30" t="s">
        <v>84</v>
      </c>
      <c r="E30" s="2" t="s">
        <v>85</v>
      </c>
      <c r="F30" s="6">
        <v>500</v>
      </c>
      <c r="G30" s="4">
        <f>'01_Daily_Market_Data'!D30</f>
        <v>5.7683</v>
      </c>
      <c r="H30" s="4">
        <v>0.45</v>
      </c>
      <c r="I30" s="4">
        <v>0.04</v>
      </c>
      <c r="J30" s="4">
        <f t="shared" si="0"/>
        <v>6.2583000000000002</v>
      </c>
      <c r="K30" s="3">
        <f t="shared" si="1"/>
        <v>3109150</v>
      </c>
      <c r="L30" s="3">
        <f t="shared" si="2"/>
        <v>3129150</v>
      </c>
      <c r="M30" s="3">
        <f t="shared" si="3"/>
        <v>20000</v>
      </c>
    </row>
    <row r="31" spans="1:13" x14ac:dyDescent="0.35">
      <c r="A31" s="2" t="s">
        <v>114</v>
      </c>
      <c r="B31" s="2" t="str">
        <f>'01_Daily_Market_Data'!A31</f>
        <v>25-10-2026</v>
      </c>
      <c r="C31" s="2" t="s">
        <v>19</v>
      </c>
      <c r="D31" t="s">
        <v>84</v>
      </c>
      <c r="E31" s="2" t="s">
        <v>85</v>
      </c>
      <c r="F31" s="6">
        <v>500</v>
      </c>
      <c r="G31" s="4">
        <f>'01_Daily_Market_Data'!D31</f>
        <v>3.99966</v>
      </c>
      <c r="H31" s="4">
        <v>0.45</v>
      </c>
      <c r="I31" s="4">
        <v>0.04</v>
      </c>
      <c r="J31" s="4">
        <f t="shared" si="0"/>
        <v>4.4896599999999998</v>
      </c>
      <c r="K31" s="3">
        <f t="shared" si="1"/>
        <v>2224830</v>
      </c>
      <c r="L31" s="3">
        <f t="shared" si="2"/>
        <v>2244830</v>
      </c>
      <c r="M31" s="3">
        <f t="shared" si="3"/>
        <v>20000</v>
      </c>
    </row>
    <row r="32" spans="1:13" x14ac:dyDescent="0.35">
      <c r="A32" s="2" t="s">
        <v>115</v>
      </c>
      <c r="B32" s="2" t="str">
        <f>'01_Daily_Market_Data'!A2</f>
        <v>26-09-2026</v>
      </c>
      <c r="C32" s="2" t="s">
        <v>23</v>
      </c>
      <c r="D32" t="s">
        <v>116</v>
      </c>
      <c r="E32" s="2" t="s">
        <v>117</v>
      </c>
      <c r="F32" s="6">
        <v>150</v>
      </c>
      <c r="G32" s="4">
        <f>'01_Daily_Market_Data'!G2</f>
        <v>2.0288499999999998</v>
      </c>
      <c r="H32" s="4">
        <v>0.45</v>
      </c>
      <c r="I32" s="4">
        <v>7.0000000000000007E-2</v>
      </c>
      <c r="J32" s="4">
        <f t="shared" si="0"/>
        <v>2.5488499999999998</v>
      </c>
      <c r="K32" s="3">
        <f t="shared" si="1"/>
        <v>371827.5</v>
      </c>
      <c r="L32" s="3">
        <f t="shared" si="2"/>
        <v>382327.5</v>
      </c>
      <c r="M32" s="3">
        <f t="shared" si="3"/>
        <v>10500</v>
      </c>
    </row>
    <row r="33" spans="1:13" x14ac:dyDescent="0.35">
      <c r="A33" s="2" t="s">
        <v>118</v>
      </c>
      <c r="B33" s="2" t="str">
        <f>'01_Daily_Market_Data'!A3</f>
        <v>27-09-2026</v>
      </c>
      <c r="C33" s="2" t="s">
        <v>23</v>
      </c>
      <c r="D33" t="s">
        <v>116</v>
      </c>
      <c r="E33" s="2" t="s">
        <v>117</v>
      </c>
      <c r="F33" s="6">
        <v>150</v>
      </c>
      <c r="G33" s="4">
        <f>'01_Daily_Market_Data'!G3</f>
        <v>4.0457700000000001</v>
      </c>
      <c r="H33" s="4">
        <v>0.45</v>
      </c>
      <c r="I33" s="4">
        <v>7.0000000000000007E-2</v>
      </c>
      <c r="J33" s="4">
        <f t="shared" si="0"/>
        <v>4.5657700000000006</v>
      </c>
      <c r="K33" s="3">
        <f t="shared" si="1"/>
        <v>674365.5</v>
      </c>
      <c r="L33" s="3">
        <f t="shared" si="2"/>
        <v>684865.50000000012</v>
      </c>
      <c r="M33" s="3">
        <f t="shared" si="3"/>
        <v>10500.000000000116</v>
      </c>
    </row>
    <row r="34" spans="1:13" x14ac:dyDescent="0.35">
      <c r="A34" s="2" t="s">
        <v>119</v>
      </c>
      <c r="B34" s="2" t="str">
        <f>'01_Daily_Market_Data'!A4</f>
        <v>28-09-2026</v>
      </c>
      <c r="C34" s="2" t="s">
        <v>23</v>
      </c>
      <c r="D34" t="s">
        <v>116</v>
      </c>
      <c r="E34" s="2" t="s">
        <v>117</v>
      </c>
      <c r="F34" s="6">
        <v>150</v>
      </c>
      <c r="G34" s="4">
        <f>'01_Daily_Market_Data'!G4</f>
        <v>5.9669099999999995</v>
      </c>
      <c r="H34" s="4">
        <v>0.45</v>
      </c>
      <c r="I34" s="4">
        <v>7.0000000000000007E-2</v>
      </c>
      <c r="J34" s="4">
        <f t="shared" ref="J34:J65" si="4">G34+H34+I34</f>
        <v>6.48691</v>
      </c>
      <c r="K34" s="3">
        <f t="shared" ref="K34:K61" si="5">F34*1000*(G34+H34)</f>
        <v>962536.5</v>
      </c>
      <c r="L34" s="3">
        <f t="shared" ref="L34:L61" si="6">F34*1000*J34</f>
        <v>973036.5</v>
      </c>
      <c r="M34" s="3">
        <f t="shared" ref="M34:M65" si="7">L34-K34</f>
        <v>10500</v>
      </c>
    </row>
    <row r="35" spans="1:13" x14ac:dyDescent="0.35">
      <c r="A35" s="2" t="s">
        <v>120</v>
      </c>
      <c r="B35" s="2" t="str">
        <f>'01_Daily_Market_Data'!A5</f>
        <v>29-09-2026</v>
      </c>
      <c r="C35" s="2" t="s">
        <v>23</v>
      </c>
      <c r="D35" t="s">
        <v>116</v>
      </c>
      <c r="E35" s="2" t="s">
        <v>117</v>
      </c>
      <c r="F35" s="6">
        <v>150</v>
      </c>
      <c r="G35" s="4">
        <f>'01_Daily_Market_Data'!G5</f>
        <v>6.3885899999999998</v>
      </c>
      <c r="H35" s="4">
        <v>0.45</v>
      </c>
      <c r="I35" s="4">
        <v>7.0000000000000007E-2</v>
      </c>
      <c r="J35" s="4">
        <f t="shared" si="4"/>
        <v>6.9085900000000002</v>
      </c>
      <c r="K35" s="3">
        <f t="shared" si="5"/>
        <v>1025788.5</v>
      </c>
      <c r="L35" s="3">
        <f t="shared" si="6"/>
        <v>1036288.5</v>
      </c>
      <c r="M35" s="3">
        <f t="shared" si="7"/>
        <v>10500</v>
      </c>
    </row>
    <row r="36" spans="1:13" x14ac:dyDescent="0.35">
      <c r="A36" s="2" t="s">
        <v>121</v>
      </c>
      <c r="B36" s="2" t="str">
        <f>'01_Daily_Market_Data'!A6</f>
        <v>30-09-2026</v>
      </c>
      <c r="C36" s="2" t="s">
        <v>23</v>
      </c>
      <c r="D36" t="s">
        <v>116</v>
      </c>
      <c r="E36" s="2" t="s">
        <v>117</v>
      </c>
      <c r="F36" s="6">
        <v>150</v>
      </c>
      <c r="G36" s="4">
        <f>'01_Daily_Market_Data'!G6</f>
        <v>6.9311000000000007</v>
      </c>
      <c r="H36" s="4">
        <v>0.45</v>
      </c>
      <c r="I36" s="4">
        <v>7.0000000000000007E-2</v>
      </c>
      <c r="J36" s="4">
        <f t="shared" si="4"/>
        <v>7.4511000000000012</v>
      </c>
      <c r="K36" s="3">
        <f t="shared" si="5"/>
        <v>1107165.0000000002</v>
      </c>
      <c r="L36" s="3">
        <f t="shared" si="6"/>
        <v>1117665.0000000002</v>
      </c>
      <c r="M36" s="3">
        <f t="shared" si="7"/>
        <v>10500</v>
      </c>
    </row>
    <row r="37" spans="1:13" x14ac:dyDescent="0.35">
      <c r="A37" s="2" t="s">
        <v>122</v>
      </c>
      <c r="B37" s="2" t="str">
        <f>'01_Daily_Market_Data'!A7</f>
        <v>01-10-2026</v>
      </c>
      <c r="C37" s="2" t="s">
        <v>23</v>
      </c>
      <c r="D37" t="s">
        <v>116</v>
      </c>
      <c r="E37" s="2" t="s">
        <v>117</v>
      </c>
      <c r="F37" s="6">
        <v>150</v>
      </c>
      <c r="G37" s="4">
        <f>'01_Daily_Market_Data'!G7</f>
        <v>7.1345200000000002</v>
      </c>
      <c r="H37" s="4">
        <v>0.45</v>
      </c>
      <c r="I37" s="4">
        <v>7.0000000000000007E-2</v>
      </c>
      <c r="J37" s="4">
        <f t="shared" si="4"/>
        <v>7.6545200000000007</v>
      </c>
      <c r="K37" s="3">
        <f t="shared" si="5"/>
        <v>1137678</v>
      </c>
      <c r="L37" s="3">
        <f t="shared" si="6"/>
        <v>1148178</v>
      </c>
      <c r="M37" s="3">
        <f t="shared" si="7"/>
        <v>10500</v>
      </c>
    </row>
    <row r="38" spans="1:13" x14ac:dyDescent="0.35">
      <c r="A38" s="2" t="s">
        <v>123</v>
      </c>
      <c r="B38" s="2" t="str">
        <f>'01_Daily_Market_Data'!A8</f>
        <v>02-10-2026</v>
      </c>
      <c r="C38" s="2" t="s">
        <v>23</v>
      </c>
      <c r="D38" t="s">
        <v>116</v>
      </c>
      <c r="E38" s="2" t="s">
        <v>117</v>
      </c>
      <c r="F38" s="6">
        <v>150</v>
      </c>
      <c r="G38" s="4">
        <f>'01_Daily_Market_Data'!G8</f>
        <v>7.0278900000000002</v>
      </c>
      <c r="H38" s="4">
        <v>0.45</v>
      </c>
      <c r="I38" s="4">
        <v>7.0000000000000007E-2</v>
      </c>
      <c r="J38" s="4">
        <f t="shared" si="4"/>
        <v>7.5478900000000007</v>
      </c>
      <c r="K38" s="3">
        <f t="shared" si="5"/>
        <v>1121683.5</v>
      </c>
      <c r="L38" s="3">
        <f t="shared" si="6"/>
        <v>1132183.5</v>
      </c>
      <c r="M38" s="3">
        <f t="shared" si="7"/>
        <v>10500</v>
      </c>
    </row>
    <row r="39" spans="1:13" x14ac:dyDescent="0.35">
      <c r="A39" s="2" t="s">
        <v>124</v>
      </c>
      <c r="B39" s="2" t="str">
        <f>'01_Daily_Market_Data'!A9</f>
        <v>03-10-2026</v>
      </c>
      <c r="C39" s="2" t="s">
        <v>23</v>
      </c>
      <c r="D39" t="s">
        <v>116</v>
      </c>
      <c r="E39" s="2" t="s">
        <v>117</v>
      </c>
      <c r="F39" s="6">
        <v>150</v>
      </c>
      <c r="G39" s="4">
        <f>'01_Daily_Market_Data'!G9</f>
        <v>7.6692399999999994</v>
      </c>
      <c r="H39" s="4">
        <v>0.45</v>
      </c>
      <c r="I39" s="4">
        <v>7.0000000000000007E-2</v>
      </c>
      <c r="J39" s="4">
        <f t="shared" si="4"/>
        <v>8.1892399999999999</v>
      </c>
      <c r="K39" s="3">
        <f t="shared" si="5"/>
        <v>1217886</v>
      </c>
      <c r="L39" s="3">
        <f t="shared" si="6"/>
        <v>1228386</v>
      </c>
      <c r="M39" s="3">
        <f t="shared" si="7"/>
        <v>10500</v>
      </c>
    </row>
    <row r="40" spans="1:13" x14ac:dyDescent="0.35">
      <c r="A40" s="2" t="s">
        <v>125</v>
      </c>
      <c r="B40" s="2" t="str">
        <f>'01_Daily_Market_Data'!A10</f>
        <v>04-10-2026</v>
      </c>
      <c r="C40" s="2" t="s">
        <v>23</v>
      </c>
      <c r="D40" t="s">
        <v>116</v>
      </c>
      <c r="E40" s="2" t="s">
        <v>117</v>
      </c>
      <c r="F40" s="6">
        <v>150</v>
      </c>
      <c r="G40" s="4">
        <f>'01_Daily_Market_Data'!G10</f>
        <v>7.2096200000000001</v>
      </c>
      <c r="H40" s="4">
        <v>0.45</v>
      </c>
      <c r="I40" s="4">
        <v>7.0000000000000007E-2</v>
      </c>
      <c r="J40" s="4">
        <f t="shared" si="4"/>
        <v>7.7296200000000006</v>
      </c>
      <c r="K40" s="3">
        <f t="shared" si="5"/>
        <v>1148943</v>
      </c>
      <c r="L40" s="3">
        <f t="shared" si="6"/>
        <v>1159443</v>
      </c>
      <c r="M40" s="3">
        <f t="shared" si="7"/>
        <v>10500</v>
      </c>
    </row>
    <row r="41" spans="1:13" x14ac:dyDescent="0.35">
      <c r="A41" s="2" t="s">
        <v>126</v>
      </c>
      <c r="B41" s="2" t="str">
        <f>'01_Daily_Market_Data'!A11</f>
        <v>05-10-2026</v>
      </c>
      <c r="C41" s="2" t="s">
        <v>23</v>
      </c>
      <c r="D41" t="s">
        <v>116</v>
      </c>
      <c r="E41" s="2" t="s">
        <v>117</v>
      </c>
      <c r="F41" s="6">
        <v>150</v>
      </c>
      <c r="G41" s="4">
        <f>'01_Daily_Market_Data'!G11</f>
        <v>8.0092200000000009</v>
      </c>
      <c r="H41" s="4">
        <v>0.45</v>
      </c>
      <c r="I41" s="4">
        <v>7.0000000000000007E-2</v>
      </c>
      <c r="J41" s="4">
        <f t="shared" si="4"/>
        <v>8.5292200000000005</v>
      </c>
      <c r="K41" s="3">
        <f t="shared" si="5"/>
        <v>1268883</v>
      </c>
      <c r="L41" s="3">
        <f t="shared" si="6"/>
        <v>1279383</v>
      </c>
      <c r="M41" s="3">
        <f t="shared" si="7"/>
        <v>10500</v>
      </c>
    </row>
    <row r="42" spans="1:13" x14ac:dyDescent="0.35">
      <c r="A42" s="2" t="s">
        <v>127</v>
      </c>
      <c r="B42" s="2" t="str">
        <f>'01_Daily_Market_Data'!A12</f>
        <v>06-10-2026</v>
      </c>
      <c r="C42" s="2" t="s">
        <v>23</v>
      </c>
      <c r="D42" t="s">
        <v>116</v>
      </c>
      <c r="E42" s="2" t="s">
        <v>117</v>
      </c>
      <c r="F42" s="6">
        <v>150</v>
      </c>
      <c r="G42" s="4">
        <f>'01_Daily_Market_Data'!G12</f>
        <v>7.8542800000000002</v>
      </c>
      <c r="H42" s="4">
        <v>0.45</v>
      </c>
      <c r="I42" s="4">
        <v>7.0000000000000007E-2</v>
      </c>
      <c r="J42" s="4">
        <f t="shared" si="4"/>
        <v>8.3742800000000006</v>
      </c>
      <c r="K42" s="3">
        <f t="shared" si="5"/>
        <v>1245642</v>
      </c>
      <c r="L42" s="3">
        <f t="shared" si="6"/>
        <v>1256142</v>
      </c>
      <c r="M42" s="3">
        <f t="shared" si="7"/>
        <v>10500</v>
      </c>
    </row>
    <row r="43" spans="1:13" x14ac:dyDescent="0.35">
      <c r="A43" s="2" t="s">
        <v>128</v>
      </c>
      <c r="B43" s="2" t="str">
        <f>'01_Daily_Market_Data'!A13</f>
        <v>07-10-2026</v>
      </c>
      <c r="C43" s="2" t="s">
        <v>23</v>
      </c>
      <c r="D43" t="s">
        <v>116</v>
      </c>
      <c r="E43" s="2" t="s">
        <v>117</v>
      </c>
      <c r="F43" s="6">
        <v>150</v>
      </c>
      <c r="G43" s="4">
        <f>'01_Daily_Market_Data'!G13</f>
        <v>7.8681099999999997</v>
      </c>
      <c r="H43" s="4">
        <v>0.45</v>
      </c>
      <c r="I43" s="4">
        <v>7.0000000000000007E-2</v>
      </c>
      <c r="J43" s="4">
        <f t="shared" si="4"/>
        <v>8.3881099999999993</v>
      </c>
      <c r="K43" s="3">
        <f t="shared" si="5"/>
        <v>1247716.4999999998</v>
      </c>
      <c r="L43" s="3">
        <f t="shared" si="6"/>
        <v>1258216.5</v>
      </c>
      <c r="M43" s="3">
        <f t="shared" si="7"/>
        <v>10500.000000000233</v>
      </c>
    </row>
    <row r="44" spans="1:13" x14ac:dyDescent="0.35">
      <c r="A44" s="2" t="s">
        <v>129</v>
      </c>
      <c r="B44" s="2" t="str">
        <f>'01_Daily_Market_Data'!A14</f>
        <v>08-10-2026</v>
      </c>
      <c r="C44" s="2" t="s">
        <v>23</v>
      </c>
      <c r="D44" t="s">
        <v>116</v>
      </c>
      <c r="E44" s="2" t="s">
        <v>117</v>
      </c>
      <c r="F44" s="6">
        <v>150</v>
      </c>
      <c r="G44" s="4">
        <f>'01_Daily_Market_Data'!G14</f>
        <v>7.8438999999999997</v>
      </c>
      <c r="H44" s="4">
        <v>0.45</v>
      </c>
      <c r="I44" s="4">
        <v>7.0000000000000007E-2</v>
      </c>
      <c r="J44" s="4">
        <f t="shared" si="4"/>
        <v>8.3638999999999992</v>
      </c>
      <c r="K44" s="3">
        <f t="shared" si="5"/>
        <v>1244084.9999999998</v>
      </c>
      <c r="L44" s="3">
        <f t="shared" si="6"/>
        <v>1254585</v>
      </c>
      <c r="M44" s="3">
        <f t="shared" si="7"/>
        <v>10500.000000000233</v>
      </c>
    </row>
    <row r="45" spans="1:13" x14ac:dyDescent="0.35">
      <c r="A45" s="2" t="s">
        <v>130</v>
      </c>
      <c r="B45" s="2" t="str">
        <f>'01_Daily_Market_Data'!A15</f>
        <v>09-10-2026</v>
      </c>
      <c r="C45" s="2" t="s">
        <v>23</v>
      </c>
      <c r="D45" t="s">
        <v>116</v>
      </c>
      <c r="E45" s="2" t="s">
        <v>117</v>
      </c>
      <c r="F45" s="6">
        <v>150</v>
      </c>
      <c r="G45" s="4">
        <f>'01_Daily_Market_Data'!G15</f>
        <v>7.7754799999999999</v>
      </c>
      <c r="H45" s="4">
        <v>0.45</v>
      </c>
      <c r="I45" s="4">
        <v>7.0000000000000007E-2</v>
      </c>
      <c r="J45" s="4">
        <f t="shared" si="4"/>
        <v>8.2954799999999995</v>
      </c>
      <c r="K45" s="3">
        <f t="shared" si="5"/>
        <v>1233822</v>
      </c>
      <c r="L45" s="3">
        <f t="shared" si="6"/>
        <v>1244322</v>
      </c>
      <c r="M45" s="3">
        <f t="shared" si="7"/>
        <v>10500</v>
      </c>
    </row>
    <row r="46" spans="1:13" x14ac:dyDescent="0.35">
      <c r="A46" s="2" t="s">
        <v>131</v>
      </c>
      <c r="B46" s="2" t="str">
        <f>'01_Daily_Market_Data'!A16</f>
        <v>10-10-2026</v>
      </c>
      <c r="C46" s="2" t="s">
        <v>23</v>
      </c>
      <c r="D46" t="s">
        <v>116</v>
      </c>
      <c r="E46" s="2" t="s">
        <v>117</v>
      </c>
      <c r="F46" s="6">
        <v>150</v>
      </c>
      <c r="G46" s="4">
        <f>'01_Daily_Market_Data'!G16</f>
        <v>7.3856099999999998</v>
      </c>
      <c r="H46" s="4">
        <v>0.45</v>
      </c>
      <c r="I46" s="4">
        <v>7.0000000000000007E-2</v>
      </c>
      <c r="J46" s="4">
        <f t="shared" si="4"/>
        <v>7.9056100000000002</v>
      </c>
      <c r="K46" s="3">
        <f t="shared" si="5"/>
        <v>1175341.5</v>
      </c>
      <c r="L46" s="3">
        <f t="shared" si="6"/>
        <v>1185841.5</v>
      </c>
      <c r="M46" s="3">
        <f t="shared" si="7"/>
        <v>10500</v>
      </c>
    </row>
    <row r="47" spans="1:13" x14ac:dyDescent="0.35">
      <c r="A47" s="2" t="s">
        <v>132</v>
      </c>
      <c r="B47" s="2" t="str">
        <f>'01_Daily_Market_Data'!A17</f>
        <v>11-10-2026</v>
      </c>
      <c r="C47" s="2" t="s">
        <v>23</v>
      </c>
      <c r="D47" t="s">
        <v>116</v>
      </c>
      <c r="E47" s="2" t="s">
        <v>117</v>
      </c>
      <c r="F47" s="6">
        <v>150</v>
      </c>
      <c r="G47" s="4">
        <f>'01_Daily_Market_Data'!G17</f>
        <v>5.9343999999999992</v>
      </c>
      <c r="H47" s="4">
        <v>0.45</v>
      </c>
      <c r="I47" s="4">
        <v>7.0000000000000007E-2</v>
      </c>
      <c r="J47" s="4">
        <f t="shared" si="4"/>
        <v>6.4543999999999997</v>
      </c>
      <c r="K47" s="3">
        <f t="shared" si="5"/>
        <v>957659.99999999988</v>
      </c>
      <c r="L47" s="3">
        <f t="shared" si="6"/>
        <v>968160</v>
      </c>
      <c r="M47" s="3">
        <f t="shared" si="7"/>
        <v>10500.000000000116</v>
      </c>
    </row>
    <row r="48" spans="1:13" x14ac:dyDescent="0.35">
      <c r="A48" s="2" t="s">
        <v>133</v>
      </c>
      <c r="B48" s="2" t="str">
        <f>'01_Daily_Market_Data'!A18</f>
        <v>12-10-2026</v>
      </c>
      <c r="C48" s="2" t="s">
        <v>23</v>
      </c>
      <c r="D48" t="s">
        <v>116</v>
      </c>
      <c r="E48" s="2" t="s">
        <v>117</v>
      </c>
      <c r="F48" s="6">
        <v>150</v>
      </c>
      <c r="G48" s="4">
        <f>'01_Daily_Market_Data'!G18</f>
        <v>6.0080200000000001</v>
      </c>
      <c r="H48" s="4">
        <v>0.45</v>
      </c>
      <c r="I48" s="4">
        <v>7.0000000000000007E-2</v>
      </c>
      <c r="J48" s="4">
        <f t="shared" si="4"/>
        <v>6.5280200000000006</v>
      </c>
      <c r="K48" s="3">
        <f t="shared" si="5"/>
        <v>968703</v>
      </c>
      <c r="L48" s="3">
        <f t="shared" si="6"/>
        <v>979203.00000000012</v>
      </c>
      <c r="M48" s="3">
        <f t="shared" si="7"/>
        <v>10500.000000000116</v>
      </c>
    </row>
    <row r="49" spans="1:13" x14ac:dyDescent="0.35">
      <c r="A49" s="2" t="s">
        <v>134</v>
      </c>
      <c r="B49" s="2" t="str">
        <f>'01_Daily_Market_Data'!A19</f>
        <v>13-10-2026</v>
      </c>
      <c r="C49" s="2" t="s">
        <v>23</v>
      </c>
      <c r="D49" t="s">
        <v>116</v>
      </c>
      <c r="E49" s="2" t="s">
        <v>117</v>
      </c>
      <c r="F49" s="6">
        <v>150</v>
      </c>
      <c r="G49" s="4">
        <f>'01_Daily_Market_Data'!G19</f>
        <v>7.4573999999999998</v>
      </c>
      <c r="H49" s="4">
        <v>0.45</v>
      </c>
      <c r="I49" s="4">
        <v>7.0000000000000007E-2</v>
      </c>
      <c r="J49" s="4">
        <f t="shared" si="4"/>
        <v>7.9774000000000003</v>
      </c>
      <c r="K49" s="3">
        <f t="shared" si="5"/>
        <v>1186110</v>
      </c>
      <c r="L49" s="3">
        <f t="shared" si="6"/>
        <v>1196610</v>
      </c>
      <c r="M49" s="3">
        <f t="shared" si="7"/>
        <v>10500</v>
      </c>
    </row>
    <row r="50" spans="1:13" x14ac:dyDescent="0.35">
      <c r="A50" s="2" t="s">
        <v>135</v>
      </c>
      <c r="B50" s="2" t="str">
        <f>'01_Daily_Market_Data'!A20</f>
        <v>14-10-2026</v>
      </c>
      <c r="C50" s="2" t="s">
        <v>23</v>
      </c>
      <c r="D50" t="s">
        <v>116</v>
      </c>
      <c r="E50" s="2" t="s">
        <v>117</v>
      </c>
      <c r="F50" s="6">
        <v>150</v>
      </c>
      <c r="G50" s="4">
        <f>'01_Daily_Market_Data'!G20</f>
        <v>8.4500599999999988</v>
      </c>
      <c r="H50" s="4">
        <v>0.45</v>
      </c>
      <c r="I50" s="4">
        <v>7.0000000000000007E-2</v>
      </c>
      <c r="J50" s="4">
        <f t="shared" si="4"/>
        <v>8.9700599999999984</v>
      </c>
      <c r="K50" s="3">
        <f t="shared" si="5"/>
        <v>1335008.9999999998</v>
      </c>
      <c r="L50" s="3">
        <f t="shared" si="6"/>
        <v>1345508.9999999998</v>
      </c>
      <c r="M50" s="3">
        <f t="shared" si="7"/>
        <v>10500</v>
      </c>
    </row>
    <row r="51" spans="1:13" x14ac:dyDescent="0.35">
      <c r="A51" s="2" t="s">
        <v>136</v>
      </c>
      <c r="B51" s="2" t="str">
        <f>'01_Daily_Market_Data'!A21</f>
        <v>15-10-2026</v>
      </c>
      <c r="C51" s="2" t="s">
        <v>23</v>
      </c>
      <c r="D51" t="s">
        <v>116</v>
      </c>
      <c r="E51" s="2" t="s">
        <v>117</v>
      </c>
      <c r="F51" s="6">
        <v>150</v>
      </c>
      <c r="G51" s="4">
        <f>'01_Daily_Market_Data'!G21</f>
        <v>7.9276499999999999</v>
      </c>
      <c r="H51" s="4">
        <v>0.45</v>
      </c>
      <c r="I51" s="4">
        <v>7.0000000000000007E-2</v>
      </c>
      <c r="J51" s="4">
        <f t="shared" si="4"/>
        <v>8.4476499999999994</v>
      </c>
      <c r="K51" s="3">
        <f t="shared" si="5"/>
        <v>1256647.4999999998</v>
      </c>
      <c r="L51" s="3">
        <f t="shared" si="6"/>
        <v>1267147.5</v>
      </c>
      <c r="M51" s="3">
        <f t="shared" si="7"/>
        <v>10500.000000000233</v>
      </c>
    </row>
    <row r="52" spans="1:13" x14ac:dyDescent="0.35">
      <c r="A52" s="2" t="s">
        <v>137</v>
      </c>
      <c r="B52" s="2" t="str">
        <f>'01_Daily_Market_Data'!A22</f>
        <v>16-10-2026</v>
      </c>
      <c r="C52" s="2" t="s">
        <v>23</v>
      </c>
      <c r="D52" t="s">
        <v>116</v>
      </c>
      <c r="E52" s="2" t="s">
        <v>117</v>
      </c>
      <c r="F52" s="6">
        <v>150</v>
      </c>
      <c r="G52" s="4">
        <f>'01_Daily_Market_Data'!G22</f>
        <v>7.6234500000000001</v>
      </c>
      <c r="H52" s="4">
        <v>0.45</v>
      </c>
      <c r="I52" s="4">
        <v>7.0000000000000007E-2</v>
      </c>
      <c r="J52" s="4">
        <f t="shared" si="4"/>
        <v>8.1434499999999996</v>
      </c>
      <c r="K52" s="3">
        <f t="shared" si="5"/>
        <v>1211017.5</v>
      </c>
      <c r="L52" s="3">
        <f t="shared" si="6"/>
        <v>1221517.5</v>
      </c>
      <c r="M52" s="3">
        <f t="shared" si="7"/>
        <v>10500</v>
      </c>
    </row>
    <row r="53" spans="1:13" x14ac:dyDescent="0.35">
      <c r="A53" s="2" t="s">
        <v>138</v>
      </c>
      <c r="B53" s="2" t="str">
        <f>'01_Daily_Market_Data'!A23</f>
        <v>17-10-2026</v>
      </c>
      <c r="C53" s="2" t="s">
        <v>23</v>
      </c>
      <c r="D53" t="s">
        <v>116</v>
      </c>
      <c r="E53" s="2" t="s">
        <v>117</v>
      </c>
      <c r="F53" s="6">
        <v>150</v>
      </c>
      <c r="G53" s="4">
        <f>'01_Daily_Market_Data'!G23</f>
        <v>6.7506599999999999</v>
      </c>
      <c r="H53" s="4">
        <v>0.45</v>
      </c>
      <c r="I53" s="4">
        <v>7.0000000000000007E-2</v>
      </c>
      <c r="J53" s="4">
        <f t="shared" si="4"/>
        <v>7.2706600000000003</v>
      </c>
      <c r="K53" s="3">
        <f t="shared" si="5"/>
        <v>1080099</v>
      </c>
      <c r="L53" s="3">
        <f t="shared" si="6"/>
        <v>1090599</v>
      </c>
      <c r="M53" s="3">
        <f t="shared" si="7"/>
        <v>10500</v>
      </c>
    </row>
    <row r="54" spans="1:13" x14ac:dyDescent="0.35">
      <c r="A54" s="2" t="s">
        <v>139</v>
      </c>
      <c r="B54" s="2" t="str">
        <f>'01_Daily_Market_Data'!A24</f>
        <v>18-10-2026</v>
      </c>
      <c r="C54" s="2" t="s">
        <v>23</v>
      </c>
      <c r="D54" t="s">
        <v>116</v>
      </c>
      <c r="E54" s="2" t="s">
        <v>117</v>
      </c>
      <c r="F54" s="6">
        <v>150</v>
      </c>
      <c r="G54" s="4">
        <f>'01_Daily_Market_Data'!G24</f>
        <v>4.2780699999999996</v>
      </c>
      <c r="H54" s="4">
        <v>0.45</v>
      </c>
      <c r="I54" s="4">
        <v>7.0000000000000007E-2</v>
      </c>
      <c r="J54" s="4">
        <f t="shared" si="4"/>
        <v>4.7980700000000001</v>
      </c>
      <c r="K54" s="3">
        <f t="shared" si="5"/>
        <v>709210.5</v>
      </c>
      <c r="L54" s="3">
        <f t="shared" si="6"/>
        <v>719710.5</v>
      </c>
      <c r="M54" s="3">
        <f t="shared" si="7"/>
        <v>10500</v>
      </c>
    </row>
    <row r="55" spans="1:13" x14ac:dyDescent="0.35">
      <c r="A55" s="2" t="s">
        <v>140</v>
      </c>
      <c r="B55" s="2" t="str">
        <f>'01_Daily_Market_Data'!A25</f>
        <v>19-10-2026</v>
      </c>
      <c r="C55" s="2" t="s">
        <v>23</v>
      </c>
      <c r="D55" t="s">
        <v>116</v>
      </c>
      <c r="E55" s="2" t="s">
        <v>117</v>
      </c>
      <c r="F55" s="6">
        <v>150</v>
      </c>
      <c r="G55" s="4">
        <f>'01_Daily_Market_Data'!G25</f>
        <v>4.4045200000000007</v>
      </c>
      <c r="H55" s="4">
        <v>0.45</v>
      </c>
      <c r="I55" s="4">
        <v>7.0000000000000007E-2</v>
      </c>
      <c r="J55" s="4">
        <f t="shared" si="4"/>
        <v>4.9245200000000011</v>
      </c>
      <c r="K55" s="3">
        <f t="shared" si="5"/>
        <v>728178.00000000012</v>
      </c>
      <c r="L55" s="3">
        <f t="shared" si="6"/>
        <v>738678.00000000012</v>
      </c>
      <c r="M55" s="3">
        <f t="shared" si="7"/>
        <v>10500</v>
      </c>
    </row>
    <row r="56" spans="1:13" x14ac:dyDescent="0.35">
      <c r="A56" s="2" t="s">
        <v>141</v>
      </c>
      <c r="B56" s="2" t="str">
        <f>'01_Daily_Market_Data'!A26</f>
        <v>20-10-2026</v>
      </c>
      <c r="C56" s="2" t="s">
        <v>23</v>
      </c>
      <c r="D56" t="s">
        <v>116</v>
      </c>
      <c r="E56" s="2" t="s">
        <v>117</v>
      </c>
      <c r="F56" s="6">
        <v>150</v>
      </c>
      <c r="G56" s="4">
        <f>'01_Daily_Market_Data'!G26</f>
        <v>2.8636999999999997</v>
      </c>
      <c r="H56" s="4">
        <v>0.45</v>
      </c>
      <c r="I56" s="4">
        <v>7.0000000000000007E-2</v>
      </c>
      <c r="J56" s="4">
        <f t="shared" si="4"/>
        <v>3.3836999999999997</v>
      </c>
      <c r="K56" s="3">
        <f t="shared" si="5"/>
        <v>497055</v>
      </c>
      <c r="L56" s="3">
        <f t="shared" si="6"/>
        <v>507554.99999999994</v>
      </c>
      <c r="M56" s="3">
        <f t="shared" si="7"/>
        <v>10499.999999999942</v>
      </c>
    </row>
    <row r="57" spans="1:13" x14ac:dyDescent="0.35">
      <c r="A57" s="2" t="s">
        <v>142</v>
      </c>
      <c r="B57" s="2" t="str">
        <f>'01_Daily_Market_Data'!A27</f>
        <v>21-10-2026</v>
      </c>
      <c r="C57" s="2" t="s">
        <v>23</v>
      </c>
      <c r="D57" t="s">
        <v>116</v>
      </c>
      <c r="E57" s="2" t="s">
        <v>117</v>
      </c>
      <c r="F57" s="6">
        <v>150</v>
      </c>
      <c r="G57" s="4">
        <f>'01_Daily_Market_Data'!G27</f>
        <v>4.1071999999999997</v>
      </c>
      <c r="H57" s="4">
        <v>0.45</v>
      </c>
      <c r="I57" s="4">
        <v>7.0000000000000007E-2</v>
      </c>
      <c r="J57" s="4">
        <f t="shared" si="4"/>
        <v>4.6272000000000002</v>
      </c>
      <c r="K57" s="3">
        <f t="shared" si="5"/>
        <v>683580</v>
      </c>
      <c r="L57" s="3">
        <f t="shared" si="6"/>
        <v>694080</v>
      </c>
      <c r="M57" s="3">
        <f t="shared" si="7"/>
        <v>10500</v>
      </c>
    </row>
    <row r="58" spans="1:13" x14ac:dyDescent="0.35">
      <c r="A58" s="2" t="s">
        <v>143</v>
      </c>
      <c r="B58" s="2" t="str">
        <f>'01_Daily_Market_Data'!A28</f>
        <v>22-10-2026</v>
      </c>
      <c r="C58" s="2" t="s">
        <v>23</v>
      </c>
      <c r="D58" t="s">
        <v>116</v>
      </c>
      <c r="E58" s="2" t="s">
        <v>117</v>
      </c>
      <c r="F58" s="6">
        <v>150</v>
      </c>
      <c r="G58" s="4">
        <f>'01_Daily_Market_Data'!G28</f>
        <v>4.4946899999999994</v>
      </c>
      <c r="H58" s="4">
        <v>0.45</v>
      </c>
      <c r="I58" s="4">
        <v>7.0000000000000007E-2</v>
      </c>
      <c r="J58" s="4">
        <f t="shared" si="4"/>
        <v>5.0146899999999999</v>
      </c>
      <c r="K58" s="3">
        <f t="shared" si="5"/>
        <v>741703.49999999988</v>
      </c>
      <c r="L58" s="3">
        <f t="shared" si="6"/>
        <v>752203.5</v>
      </c>
      <c r="M58" s="3">
        <f t="shared" si="7"/>
        <v>10500.000000000116</v>
      </c>
    </row>
    <row r="59" spans="1:13" x14ac:dyDescent="0.35">
      <c r="A59" s="2" t="s">
        <v>144</v>
      </c>
      <c r="B59" s="2" t="str">
        <f>'01_Daily_Market_Data'!A29</f>
        <v>23-10-2026</v>
      </c>
      <c r="C59" s="2" t="s">
        <v>23</v>
      </c>
      <c r="D59" t="s">
        <v>116</v>
      </c>
      <c r="E59" s="2" t="s">
        <v>117</v>
      </c>
      <c r="F59" s="6">
        <v>150</v>
      </c>
      <c r="G59" s="4">
        <f>'01_Daily_Market_Data'!G29</f>
        <v>3.9737199999999997</v>
      </c>
      <c r="H59" s="4">
        <v>0.45</v>
      </c>
      <c r="I59" s="4">
        <v>7.0000000000000007E-2</v>
      </c>
      <c r="J59" s="4">
        <f t="shared" si="4"/>
        <v>4.4937199999999997</v>
      </c>
      <c r="K59" s="3">
        <f t="shared" si="5"/>
        <v>663557.99999999988</v>
      </c>
      <c r="L59" s="3">
        <f t="shared" si="6"/>
        <v>674058</v>
      </c>
      <c r="M59" s="3">
        <f t="shared" si="7"/>
        <v>10500.000000000116</v>
      </c>
    </row>
    <row r="60" spans="1:13" x14ac:dyDescent="0.35">
      <c r="A60" s="2" t="s">
        <v>145</v>
      </c>
      <c r="B60" s="2" t="str">
        <f>'01_Daily_Market_Data'!A30</f>
        <v>24-10-2026</v>
      </c>
      <c r="C60" s="2" t="s">
        <v>23</v>
      </c>
      <c r="D60" t="s">
        <v>116</v>
      </c>
      <c r="E60" s="2" t="s">
        <v>117</v>
      </c>
      <c r="F60" s="6">
        <v>150</v>
      </c>
      <c r="G60" s="4">
        <f>'01_Daily_Market_Data'!G30</f>
        <v>4.0875300000000001</v>
      </c>
      <c r="H60" s="4">
        <v>0.45</v>
      </c>
      <c r="I60" s="4">
        <v>7.0000000000000007E-2</v>
      </c>
      <c r="J60" s="4">
        <f t="shared" si="4"/>
        <v>4.6075300000000006</v>
      </c>
      <c r="K60" s="3">
        <f t="shared" si="5"/>
        <v>680629.5</v>
      </c>
      <c r="L60" s="3">
        <f t="shared" si="6"/>
        <v>691129.50000000012</v>
      </c>
      <c r="M60" s="3">
        <f t="shared" si="7"/>
        <v>10500.000000000116</v>
      </c>
    </row>
    <row r="61" spans="1:13" x14ac:dyDescent="0.35">
      <c r="A61" s="2" t="s">
        <v>146</v>
      </c>
      <c r="B61" s="2" t="str">
        <f>'01_Daily_Market_Data'!A31</f>
        <v>25-10-2026</v>
      </c>
      <c r="C61" s="2" t="s">
        <v>23</v>
      </c>
      <c r="D61" t="s">
        <v>116</v>
      </c>
      <c r="E61" s="2" t="s">
        <v>117</v>
      </c>
      <c r="F61" s="6">
        <v>150</v>
      </c>
      <c r="G61" s="4">
        <f>'01_Daily_Market_Data'!G31</f>
        <v>2.7743699999999998</v>
      </c>
      <c r="H61" s="4">
        <v>0.45</v>
      </c>
      <c r="I61" s="4">
        <v>7.0000000000000007E-2</v>
      </c>
      <c r="J61" s="4">
        <f t="shared" si="4"/>
        <v>3.2943699999999998</v>
      </c>
      <c r="K61" s="3">
        <f t="shared" si="5"/>
        <v>483655.5</v>
      </c>
      <c r="L61" s="3">
        <f t="shared" si="6"/>
        <v>494155.49999999994</v>
      </c>
      <c r="M61" s="3">
        <f t="shared" si="7"/>
        <v>10499.999999999942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14"/>
  <sheetViews>
    <sheetView workbookViewId="0"/>
  </sheetViews>
  <sheetFormatPr defaultRowHeight="14.5" x14ac:dyDescent="0.35"/>
  <cols>
    <col min="1" max="7" width="24" customWidth="1"/>
  </cols>
  <sheetData>
    <row r="2" spans="1:7" x14ac:dyDescent="0.35">
      <c r="A2" s="5" t="s">
        <v>147</v>
      </c>
    </row>
    <row r="3" spans="1:7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148</v>
      </c>
      <c r="G3" s="1" t="s">
        <v>149</v>
      </c>
    </row>
    <row r="4" spans="1:7" x14ac:dyDescent="0.35">
      <c r="A4" s="2" t="s">
        <v>19</v>
      </c>
      <c r="B4" t="s">
        <v>84</v>
      </c>
      <c r="C4" s="7">
        <f>SUMIF('02_Trading_Ledger'!C2:C61, "DAM", '02_Trading_Ledger'!F2:F61)/1000</f>
        <v>15</v>
      </c>
      <c r="D4" s="4">
        <f>SUMIF('02_Trading_Ledger'!C2:C61, "DAM", '02_Trading_Ledger'!L2:L61)/10000000</f>
        <v>11.262135000000001</v>
      </c>
      <c r="E4" s="4">
        <f>SUMIF('02_Trading_Ledger'!C2:C61, "DAM", '02_Trading_Ledger'!K2:K61)/10000000</f>
        <v>11.202135</v>
      </c>
      <c r="F4" s="7">
        <f>SUMIF('02_Trading_Ledger'!C2:C61, "DAM", '02_Trading_Ledger'!M2:M61)/100000</f>
        <v>5.9999999999999396</v>
      </c>
      <c r="G4" s="7">
        <f>(F4*100000)/(C4*1000000)*100</f>
        <v>3.99999999999996</v>
      </c>
    </row>
    <row r="5" spans="1:7" x14ac:dyDescent="0.35">
      <c r="A5" s="2" t="s">
        <v>23</v>
      </c>
      <c r="B5" t="s">
        <v>116</v>
      </c>
      <c r="C5" s="7">
        <f>SUMIF('02_Trading_Ledger'!C2:C61, "RTM", '02_Trading_Ledger'!F2:F61)/1000</f>
        <v>4.5</v>
      </c>
      <c r="D5" s="4">
        <f>SUMIF('02_Trading_Ledger'!C2:C61, "RTM", '02_Trading_Ledger'!L2:L61)/10000000</f>
        <v>2.9681179499999999</v>
      </c>
      <c r="E5" s="4">
        <f>SUMIF('02_Trading_Ledger'!C2:C61, "RTM", '02_Trading_Ledger'!K2:K61)/10000000</f>
        <v>2.93661795</v>
      </c>
      <c r="F5" s="7">
        <f>SUMIF('02_Trading_Ledger'!C2:C61, "RTM", '02_Trading_Ledger'!M2:M61)/100000</f>
        <v>3.1500000000000128</v>
      </c>
      <c r="G5" s="7">
        <f>(F5*100000)/(C5*1000000)*100</f>
        <v>7.0000000000000284</v>
      </c>
    </row>
    <row r="6" spans="1:7" x14ac:dyDescent="0.35">
      <c r="A6" s="5" t="s">
        <v>150</v>
      </c>
      <c r="B6" s="2" t="s">
        <v>151</v>
      </c>
      <c r="C6" s="8">
        <f>C4+C5</f>
        <v>19.5</v>
      </c>
      <c r="D6" s="9">
        <f>D4+D5</f>
        <v>14.230252950000001</v>
      </c>
      <c r="E6" s="9">
        <f>E4+E5</f>
        <v>14.138752950000001</v>
      </c>
      <c r="F6" s="8">
        <f>F4+F5</f>
        <v>9.1499999999999524</v>
      </c>
      <c r="G6" s="8">
        <f>(F6*100000)/(C6*1000000)*100</f>
        <v>4.6923076923076676</v>
      </c>
    </row>
    <row r="9" spans="1:7" x14ac:dyDescent="0.35">
      <c r="A9" s="5" t="s">
        <v>152</v>
      </c>
    </row>
    <row r="10" spans="1:7" x14ac:dyDescent="0.35">
      <c r="A10" s="1" t="s">
        <v>153</v>
      </c>
      <c r="B10" s="1" t="s">
        <v>154</v>
      </c>
      <c r="C10" s="1" t="s">
        <v>155</v>
      </c>
      <c r="D10" s="1" t="s">
        <v>156</v>
      </c>
      <c r="E10" s="1" t="s">
        <v>157</v>
      </c>
      <c r="F10" s="1" t="s">
        <v>158</v>
      </c>
    </row>
    <row r="11" spans="1:7" x14ac:dyDescent="0.35">
      <c r="A11" s="5" t="s">
        <v>159</v>
      </c>
      <c r="B11" s="7">
        <v>22</v>
      </c>
      <c r="C11" s="7">
        <f>C6</f>
        <v>19.5</v>
      </c>
      <c r="D11" s="7">
        <f>C11-B11</f>
        <v>-2.5</v>
      </c>
      <c r="E11" s="10">
        <f>D11/B11</f>
        <v>-0.11363636363636363</v>
      </c>
      <c r="F11" t="s">
        <v>160</v>
      </c>
    </row>
    <row r="12" spans="1:7" x14ac:dyDescent="0.35">
      <c r="A12" s="5" t="s">
        <v>161</v>
      </c>
      <c r="B12" s="4">
        <v>5.5</v>
      </c>
      <c r="C12" s="4">
        <f>'01_Daily_Market_Data'!D32</f>
        <v>7.0180900000000017</v>
      </c>
      <c r="D12" s="4">
        <f>C12-B12</f>
        <v>1.5180900000000017</v>
      </c>
      <c r="E12" s="10">
        <f>D12/B12</f>
        <v>0.27601636363636395</v>
      </c>
      <c r="F12" t="s">
        <v>162</v>
      </c>
    </row>
    <row r="13" spans="1:7" x14ac:dyDescent="0.35">
      <c r="A13" s="5" t="s">
        <v>163</v>
      </c>
      <c r="B13" s="7">
        <v>15</v>
      </c>
      <c r="C13" s="7">
        <f>D6</f>
        <v>14.230252950000001</v>
      </c>
      <c r="D13" s="7">
        <f>C13-B13</f>
        <v>-0.76974704999999943</v>
      </c>
      <c r="E13" s="10">
        <f>D13/B13</f>
        <v>-5.1316469999999961E-2</v>
      </c>
      <c r="F13" t="s">
        <v>164</v>
      </c>
    </row>
    <row r="14" spans="1:7" x14ac:dyDescent="0.35">
      <c r="A14" s="5" t="s">
        <v>165</v>
      </c>
      <c r="B14" s="7">
        <v>10.5</v>
      </c>
      <c r="C14" s="7">
        <f>F6</f>
        <v>9.1499999999999524</v>
      </c>
      <c r="D14" s="7">
        <f>C14-B14</f>
        <v>-1.3500000000000476</v>
      </c>
      <c r="E14" s="10">
        <f>D14/B14</f>
        <v>-0.12857142857143311</v>
      </c>
      <c r="F14" t="s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tabSelected="1" zoomScale="79" zoomScaleNormal="68" workbookViewId="0"/>
  </sheetViews>
  <sheetFormatPr defaultRowHeight="14.5" x14ac:dyDescent="0.35"/>
  <cols>
    <col min="1" max="13" width="24" customWidth="1"/>
  </cols>
  <sheetData>
    <row r="1" spans="1:12" x14ac:dyDescent="0.35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 spans="1:12" x14ac:dyDescent="0.35">
      <c r="A2" s="2">
        <v>1</v>
      </c>
      <c r="B2" s="2" t="str">
        <f>'01_Daily_Market_Data'!A2</f>
        <v>26-09-2026</v>
      </c>
      <c r="C2" s="3">
        <v>0</v>
      </c>
      <c r="D2" s="3">
        <v>0</v>
      </c>
      <c r="E2" s="3">
        <v>0</v>
      </c>
      <c r="F2" s="3">
        <f t="shared" ref="F2:F33" si="0">D2+E2</f>
        <v>0</v>
      </c>
      <c r="G2" s="3">
        <f t="shared" ref="G2:G33" si="1">F2-C2</f>
        <v>0</v>
      </c>
      <c r="H2" s="4">
        <f>G2/10000000</f>
        <v>0</v>
      </c>
      <c r="I2" s="3">
        <f t="shared" ref="I2:I33" si="2">IF(H2&lt;0, (-H2*10000000)*0.09/365, 0)</f>
        <v>0</v>
      </c>
    </row>
    <row r="3" spans="1:12" x14ac:dyDescent="0.35">
      <c r="A3" s="2">
        <v>2</v>
      </c>
      <c r="B3" s="2">
        <f t="shared" ref="B3:B34" si="3">B2+1</f>
        <v>46292</v>
      </c>
      <c r="C3" s="3">
        <f>'02_Trading_Ledger'!K2+'02_Trading_Ledger'!K32</f>
        <v>2746517.5</v>
      </c>
      <c r="D3" s="3">
        <v>0</v>
      </c>
      <c r="E3" s="3">
        <v>0</v>
      </c>
      <c r="F3" s="3">
        <f t="shared" si="0"/>
        <v>0</v>
      </c>
      <c r="G3" s="3">
        <f t="shared" si="1"/>
        <v>-2746517.5</v>
      </c>
      <c r="H3" s="4">
        <f t="shared" ref="H3:H34" si="4">H2+(G3/10000000)</f>
        <v>-0.27465174999999997</v>
      </c>
      <c r="I3" s="3">
        <f t="shared" si="2"/>
        <v>677.22349315068482</v>
      </c>
      <c r="K3" s="5" t="s">
        <v>176</v>
      </c>
      <c r="L3" s="8">
        <f>MIN(H2:H61)</f>
        <v>-12.4078506</v>
      </c>
    </row>
    <row r="4" spans="1:12" x14ac:dyDescent="0.35">
      <c r="A4" s="2">
        <v>3</v>
      </c>
      <c r="B4" s="2">
        <f t="shared" si="3"/>
        <v>46293</v>
      </c>
      <c r="C4" s="3">
        <f>'02_Trading_Ledger'!K3+'02_Trading_Ledger'!K33</f>
        <v>2277315.5</v>
      </c>
      <c r="D4" s="3">
        <v>0</v>
      </c>
      <c r="E4" s="3">
        <v>0</v>
      </c>
      <c r="F4" s="3">
        <f t="shared" si="0"/>
        <v>0</v>
      </c>
      <c r="G4" s="3">
        <f t="shared" si="1"/>
        <v>-2277315.5</v>
      </c>
      <c r="H4" s="4">
        <f t="shared" si="4"/>
        <v>-0.50238329999999998</v>
      </c>
      <c r="I4" s="3">
        <f t="shared" si="2"/>
        <v>1238.7533424657533</v>
      </c>
      <c r="K4" s="5" t="s">
        <v>177</v>
      </c>
      <c r="L4" s="11">
        <f>MATCH(L3, H2:H61, 0)</f>
        <v>31</v>
      </c>
    </row>
    <row r="5" spans="1:12" x14ac:dyDescent="0.35">
      <c r="A5" s="2">
        <v>4</v>
      </c>
      <c r="B5" s="2">
        <f t="shared" si="3"/>
        <v>46294</v>
      </c>
      <c r="C5" s="3">
        <f>'02_Trading_Ledger'!K4+'02_Trading_Ledger'!K34</f>
        <v>3909646.5000000005</v>
      </c>
      <c r="D5" s="3">
        <v>0</v>
      </c>
      <c r="E5" s="3">
        <v>0</v>
      </c>
      <c r="F5" s="3">
        <f t="shared" si="0"/>
        <v>0</v>
      </c>
      <c r="G5" s="3">
        <f t="shared" si="1"/>
        <v>-3909646.5000000005</v>
      </c>
      <c r="H5" s="4">
        <f t="shared" si="4"/>
        <v>-0.89334795</v>
      </c>
      <c r="I5" s="3">
        <f t="shared" si="2"/>
        <v>2202.7757671232876</v>
      </c>
      <c r="K5" s="5" t="s">
        <v>178</v>
      </c>
      <c r="L5" s="8">
        <f>-L3*1.1</f>
        <v>13.64863566</v>
      </c>
    </row>
    <row r="6" spans="1:12" x14ac:dyDescent="0.35">
      <c r="A6" s="2">
        <v>5</v>
      </c>
      <c r="B6" s="2">
        <f t="shared" si="3"/>
        <v>46295</v>
      </c>
      <c r="C6" s="3">
        <f>'02_Trading_Ledger'!K5+'02_Trading_Ledger'!K35</f>
        <v>4975068.5</v>
      </c>
      <c r="D6" s="3">
        <v>0</v>
      </c>
      <c r="E6" s="3">
        <v>0</v>
      </c>
      <c r="F6" s="3">
        <f t="shared" si="0"/>
        <v>0</v>
      </c>
      <c r="G6" s="3">
        <f t="shared" si="1"/>
        <v>-4975068.5</v>
      </c>
      <c r="H6" s="4">
        <f t="shared" si="4"/>
        <v>-1.3908548000000001</v>
      </c>
      <c r="I6" s="3">
        <f t="shared" si="2"/>
        <v>3429.5049863013701</v>
      </c>
      <c r="K6" s="5" t="s">
        <v>179</v>
      </c>
      <c r="L6" s="8">
        <f>SUM(I2:I61)/100000</f>
        <v>12.227313582739727</v>
      </c>
    </row>
    <row r="7" spans="1:12" x14ac:dyDescent="0.35">
      <c r="A7" s="2">
        <v>6</v>
      </c>
      <c r="B7" s="2">
        <f t="shared" si="3"/>
        <v>46296</v>
      </c>
      <c r="C7" s="3">
        <f>'02_Trading_Ledger'!K6+'02_Trading_Ledger'!K36</f>
        <v>5158225</v>
      </c>
      <c r="D7" s="3">
        <v>0</v>
      </c>
      <c r="E7" s="3">
        <v>0</v>
      </c>
      <c r="F7" s="3">
        <f t="shared" si="0"/>
        <v>0</v>
      </c>
      <c r="G7" s="3">
        <f t="shared" si="1"/>
        <v>-5158225</v>
      </c>
      <c r="H7" s="4">
        <f t="shared" si="4"/>
        <v>-1.9066773000000001</v>
      </c>
      <c r="I7" s="3">
        <f t="shared" si="2"/>
        <v>4701.3960821917808</v>
      </c>
      <c r="K7" s="5" t="s">
        <v>180</v>
      </c>
      <c r="L7" s="8">
        <f>'03_Financial_MIS'!F6-L6</f>
        <v>-3.0773135827397748</v>
      </c>
    </row>
    <row r="8" spans="1:12" x14ac:dyDescent="0.35">
      <c r="A8" s="2">
        <v>7</v>
      </c>
      <c r="B8" s="2">
        <f t="shared" si="3"/>
        <v>46297</v>
      </c>
      <c r="C8" s="3">
        <f>'02_Trading_Ledger'!K7+'02_Trading_Ledger'!K37</f>
        <v>5075938</v>
      </c>
      <c r="D8" s="3">
        <v>0</v>
      </c>
      <c r="E8" s="3">
        <v>0</v>
      </c>
      <c r="F8" s="3">
        <f t="shared" si="0"/>
        <v>0</v>
      </c>
      <c r="G8" s="3">
        <f t="shared" si="1"/>
        <v>-5075938</v>
      </c>
      <c r="H8" s="4">
        <f t="shared" si="4"/>
        <v>-2.4142711000000001</v>
      </c>
      <c r="I8" s="3">
        <f t="shared" si="2"/>
        <v>5952.9972328767117</v>
      </c>
    </row>
    <row r="9" spans="1:12" x14ac:dyDescent="0.35">
      <c r="A9" s="2">
        <v>8</v>
      </c>
      <c r="B9" s="2">
        <f t="shared" si="3"/>
        <v>46298</v>
      </c>
      <c r="C9" s="3">
        <f>'02_Trading_Ledger'!K8+'02_Trading_Ledger'!K38</f>
        <v>4931578.5</v>
      </c>
      <c r="D9" s="3">
        <v>0</v>
      </c>
      <c r="E9" s="3">
        <v>0</v>
      </c>
      <c r="F9" s="3">
        <f t="shared" si="0"/>
        <v>0</v>
      </c>
      <c r="G9" s="3">
        <f t="shared" si="1"/>
        <v>-4931578.5</v>
      </c>
      <c r="H9" s="4">
        <f t="shared" si="4"/>
        <v>-2.9074289499999999</v>
      </c>
      <c r="I9" s="3">
        <f t="shared" si="2"/>
        <v>7169.0028904109577</v>
      </c>
    </row>
    <row r="10" spans="1:12" x14ac:dyDescent="0.35">
      <c r="A10" s="2">
        <v>9</v>
      </c>
      <c r="B10" s="2">
        <f t="shared" si="3"/>
        <v>46299</v>
      </c>
      <c r="C10" s="3">
        <f>'02_Trading_Ledger'!K9+'02_Trading_Ledger'!K39</f>
        <v>5047486</v>
      </c>
      <c r="D10" s="3">
        <v>0</v>
      </c>
      <c r="E10" s="3">
        <v>0</v>
      </c>
      <c r="F10" s="3">
        <f t="shared" si="0"/>
        <v>0</v>
      </c>
      <c r="G10" s="3">
        <f t="shared" si="1"/>
        <v>-5047486</v>
      </c>
      <c r="H10" s="4">
        <f t="shared" si="4"/>
        <v>-3.41217755</v>
      </c>
      <c r="I10" s="3">
        <f t="shared" si="2"/>
        <v>8413.5884794520553</v>
      </c>
    </row>
    <row r="11" spans="1:12" x14ac:dyDescent="0.35">
      <c r="A11" s="2">
        <v>10</v>
      </c>
      <c r="B11" s="2">
        <f t="shared" si="3"/>
        <v>46300</v>
      </c>
      <c r="C11" s="3">
        <f>'02_Trading_Ledger'!K10+'02_Trading_Ledger'!K40</f>
        <v>4906293</v>
      </c>
      <c r="D11" s="3">
        <v>0</v>
      </c>
      <c r="E11" s="3">
        <v>0</v>
      </c>
      <c r="F11" s="3">
        <f t="shared" si="0"/>
        <v>0</v>
      </c>
      <c r="G11" s="3">
        <f t="shared" si="1"/>
        <v>-4906293</v>
      </c>
      <c r="H11" s="4">
        <f t="shared" si="4"/>
        <v>-3.9028068500000002</v>
      </c>
      <c r="I11" s="3">
        <f t="shared" si="2"/>
        <v>9623.3593561643829</v>
      </c>
    </row>
    <row r="12" spans="1:12" x14ac:dyDescent="0.35">
      <c r="A12" s="2">
        <v>11</v>
      </c>
      <c r="B12" s="2">
        <f t="shared" si="3"/>
        <v>46301</v>
      </c>
      <c r="C12" s="3">
        <f>'02_Trading_Ledger'!K11+'02_Trading_Ledger'!K41</f>
        <v>5293643</v>
      </c>
      <c r="D12" s="3">
        <v>0</v>
      </c>
      <c r="E12" s="3">
        <v>0</v>
      </c>
      <c r="F12" s="3">
        <f t="shared" si="0"/>
        <v>0</v>
      </c>
      <c r="G12" s="3">
        <f t="shared" si="1"/>
        <v>-5293643</v>
      </c>
      <c r="H12" s="4">
        <f t="shared" si="4"/>
        <v>-4.4321711500000003</v>
      </c>
      <c r="I12" s="3">
        <f t="shared" si="2"/>
        <v>10928.641191780822</v>
      </c>
    </row>
    <row r="13" spans="1:12" x14ac:dyDescent="0.35">
      <c r="A13" s="2">
        <v>12</v>
      </c>
      <c r="B13" s="2">
        <f t="shared" si="3"/>
        <v>46302</v>
      </c>
      <c r="C13" s="3">
        <f>'02_Trading_Ledger'!K12+'02_Trading_Ledger'!K42</f>
        <v>5352787</v>
      </c>
      <c r="D13" s="3">
        <v>0</v>
      </c>
      <c r="E13" s="3">
        <v>0</v>
      </c>
      <c r="F13" s="3">
        <f t="shared" si="0"/>
        <v>0</v>
      </c>
      <c r="G13" s="3">
        <f t="shared" si="1"/>
        <v>-5352787</v>
      </c>
      <c r="H13" s="4">
        <f t="shared" si="4"/>
        <v>-4.9674498500000004</v>
      </c>
      <c r="I13" s="3">
        <f t="shared" si="2"/>
        <v>12248.506479452055</v>
      </c>
    </row>
    <row r="14" spans="1:12" x14ac:dyDescent="0.35">
      <c r="A14" s="2">
        <v>13</v>
      </c>
      <c r="B14" s="2">
        <f t="shared" si="3"/>
        <v>46303</v>
      </c>
      <c r="C14" s="3">
        <f>'02_Trading_Ledger'!K13+'02_Trading_Ledger'!K43</f>
        <v>5469416.4999999991</v>
      </c>
      <c r="D14" s="3">
        <v>0</v>
      </c>
      <c r="E14" s="3">
        <v>0</v>
      </c>
      <c r="F14" s="3">
        <f t="shared" si="0"/>
        <v>0</v>
      </c>
      <c r="G14" s="3">
        <f t="shared" si="1"/>
        <v>-5469416.4999999991</v>
      </c>
      <c r="H14" s="4">
        <f t="shared" si="4"/>
        <v>-5.5143915000000003</v>
      </c>
      <c r="I14" s="3">
        <f t="shared" si="2"/>
        <v>13597.129726027397</v>
      </c>
    </row>
    <row r="15" spans="1:12" x14ac:dyDescent="0.35">
      <c r="A15" s="2">
        <v>14</v>
      </c>
      <c r="B15" s="2">
        <f t="shared" si="3"/>
        <v>46304</v>
      </c>
      <c r="C15" s="3">
        <f>'02_Trading_Ledger'!K14+'02_Trading_Ledger'!K44</f>
        <v>5485225</v>
      </c>
      <c r="D15" s="3">
        <v>0</v>
      </c>
      <c r="E15" s="3">
        <v>0</v>
      </c>
      <c r="F15" s="3">
        <f t="shared" si="0"/>
        <v>0</v>
      </c>
      <c r="G15" s="3">
        <f t="shared" si="1"/>
        <v>-5485225</v>
      </c>
      <c r="H15" s="4">
        <f t="shared" si="4"/>
        <v>-6.0629140000000001</v>
      </c>
      <c r="I15" s="3">
        <f t="shared" si="2"/>
        <v>14949.650958904109</v>
      </c>
    </row>
    <row r="16" spans="1:12" x14ac:dyDescent="0.35">
      <c r="A16" s="2">
        <v>15</v>
      </c>
      <c r="B16" s="2">
        <f t="shared" si="3"/>
        <v>46305</v>
      </c>
      <c r="C16" s="3">
        <f>'02_Trading_Ledger'!K15+'02_Trading_Ledger'!K45</f>
        <v>5478457</v>
      </c>
      <c r="D16" s="3">
        <v>0</v>
      </c>
      <c r="E16" s="3">
        <v>0</v>
      </c>
      <c r="F16" s="3">
        <f t="shared" si="0"/>
        <v>0</v>
      </c>
      <c r="G16" s="3">
        <f t="shared" si="1"/>
        <v>-5478457</v>
      </c>
      <c r="H16" s="4">
        <f t="shared" si="4"/>
        <v>-6.6107597</v>
      </c>
      <c r="I16" s="3">
        <f t="shared" si="2"/>
        <v>16300.503369863012</v>
      </c>
    </row>
    <row r="17" spans="1:9" x14ac:dyDescent="0.35">
      <c r="A17" s="2">
        <v>16</v>
      </c>
      <c r="B17" s="2">
        <f t="shared" si="3"/>
        <v>46306</v>
      </c>
      <c r="C17" s="3">
        <f>'02_Trading_Ledger'!K16+'02_Trading_Ledger'!K46</f>
        <v>5405611.5</v>
      </c>
      <c r="D17" s="3">
        <f>'02_Trading_Ledger'!L32</f>
        <v>382327.5</v>
      </c>
      <c r="E17" s="3">
        <v>0</v>
      </c>
      <c r="F17" s="3">
        <f t="shared" si="0"/>
        <v>382327.5</v>
      </c>
      <c r="G17" s="3">
        <f t="shared" si="1"/>
        <v>-5023284</v>
      </c>
      <c r="H17" s="4">
        <f t="shared" si="4"/>
        <v>-7.1130880999999997</v>
      </c>
      <c r="I17" s="3">
        <f t="shared" si="2"/>
        <v>17539.121342465754</v>
      </c>
    </row>
    <row r="18" spans="1:9" x14ac:dyDescent="0.35">
      <c r="A18" s="2">
        <v>17</v>
      </c>
      <c r="B18" s="2">
        <f t="shared" si="3"/>
        <v>46307</v>
      </c>
      <c r="C18" s="3">
        <f>'02_Trading_Ledger'!K17+'02_Trading_Ledger'!K47</f>
        <v>4991085</v>
      </c>
      <c r="D18" s="3">
        <f>'02_Trading_Ledger'!L33</f>
        <v>684865.50000000012</v>
      </c>
      <c r="E18" s="3">
        <v>0</v>
      </c>
      <c r="F18" s="3">
        <f t="shared" si="0"/>
        <v>684865.50000000012</v>
      </c>
      <c r="G18" s="3">
        <f t="shared" si="1"/>
        <v>-4306219.5</v>
      </c>
      <c r="H18" s="4">
        <f t="shared" si="4"/>
        <v>-7.5437100499999996</v>
      </c>
      <c r="I18" s="3">
        <f t="shared" si="2"/>
        <v>18600.92889041096</v>
      </c>
    </row>
    <row r="19" spans="1:9" x14ac:dyDescent="0.35">
      <c r="A19" s="2">
        <v>18</v>
      </c>
      <c r="B19" s="2">
        <f t="shared" si="3"/>
        <v>46308</v>
      </c>
      <c r="C19" s="3">
        <f>'02_Trading_Ledger'!K18+'02_Trading_Ledger'!K48</f>
        <v>5136763</v>
      </c>
      <c r="D19" s="3">
        <f>'02_Trading_Ledger'!L34</f>
        <v>973036.5</v>
      </c>
      <c r="E19" s="3">
        <v>0</v>
      </c>
      <c r="F19" s="3">
        <f t="shared" si="0"/>
        <v>973036.5</v>
      </c>
      <c r="G19" s="3">
        <f t="shared" si="1"/>
        <v>-4163726.5</v>
      </c>
      <c r="H19" s="4">
        <f t="shared" si="4"/>
        <v>-7.9600826999999992</v>
      </c>
      <c r="I19" s="3">
        <f t="shared" si="2"/>
        <v>19627.60117808219</v>
      </c>
    </row>
    <row r="20" spans="1:9" x14ac:dyDescent="0.35">
      <c r="A20" s="2">
        <v>19</v>
      </c>
      <c r="B20" s="2">
        <f t="shared" si="3"/>
        <v>46309</v>
      </c>
      <c r="C20" s="3">
        <f>'02_Trading_Ledger'!K19+'02_Trading_Ledger'!K49</f>
        <v>5252410</v>
      </c>
      <c r="D20" s="3">
        <f>'02_Trading_Ledger'!L35</f>
        <v>1036288.5</v>
      </c>
      <c r="E20" s="3">
        <v>0</v>
      </c>
      <c r="F20" s="3">
        <f t="shared" si="0"/>
        <v>1036288.5</v>
      </c>
      <c r="G20" s="3">
        <f t="shared" si="1"/>
        <v>-4216121.5</v>
      </c>
      <c r="H20" s="4">
        <f t="shared" si="4"/>
        <v>-8.3816948499999988</v>
      </c>
      <c r="I20" s="3">
        <f t="shared" si="2"/>
        <v>20667.192780821912</v>
      </c>
    </row>
    <row r="21" spans="1:9" x14ac:dyDescent="0.35">
      <c r="A21" s="2">
        <v>20</v>
      </c>
      <c r="B21" s="2">
        <f t="shared" si="3"/>
        <v>46310</v>
      </c>
      <c r="C21" s="3">
        <f>'02_Trading_Ledger'!K20+'02_Trading_Ledger'!K50</f>
        <v>5404818.9999999991</v>
      </c>
      <c r="D21" s="3">
        <f>'02_Trading_Ledger'!L36</f>
        <v>1117665.0000000002</v>
      </c>
      <c r="E21" s="3">
        <v>0</v>
      </c>
      <c r="F21" s="3">
        <f t="shared" si="0"/>
        <v>1117665.0000000002</v>
      </c>
      <c r="G21" s="3">
        <f t="shared" si="1"/>
        <v>-4287153.9999999991</v>
      </c>
      <c r="H21" s="4">
        <f t="shared" si="4"/>
        <v>-8.8104102499999986</v>
      </c>
      <c r="I21" s="3">
        <f t="shared" si="2"/>
        <v>21724.299246575338</v>
      </c>
    </row>
    <row r="22" spans="1:9" x14ac:dyDescent="0.35">
      <c r="A22" s="2">
        <v>21</v>
      </c>
      <c r="B22" s="2">
        <f t="shared" si="3"/>
        <v>46311</v>
      </c>
      <c r="C22" s="3">
        <f>'02_Trading_Ledger'!K21+'02_Trading_Ledger'!K51</f>
        <v>5520382.5</v>
      </c>
      <c r="D22" s="3">
        <f>'02_Trading_Ledger'!L37</f>
        <v>1148178</v>
      </c>
      <c r="E22" s="3">
        <v>0</v>
      </c>
      <c r="F22" s="3">
        <f t="shared" si="0"/>
        <v>1148178</v>
      </c>
      <c r="G22" s="3">
        <f t="shared" si="1"/>
        <v>-4372204.5</v>
      </c>
      <c r="H22" s="4">
        <f t="shared" si="4"/>
        <v>-9.2476306999999984</v>
      </c>
      <c r="I22" s="3">
        <f t="shared" si="2"/>
        <v>22802.377068493144</v>
      </c>
    </row>
    <row r="23" spans="1:9" x14ac:dyDescent="0.35">
      <c r="A23" s="2">
        <v>22</v>
      </c>
      <c r="B23" s="2">
        <f t="shared" si="3"/>
        <v>46312</v>
      </c>
      <c r="C23" s="3">
        <f>'02_Trading_Ledger'!K22+'02_Trading_Ledger'!K52</f>
        <v>5526777.5</v>
      </c>
      <c r="D23" s="3">
        <f>'02_Trading_Ledger'!L38</f>
        <v>1132183.5</v>
      </c>
      <c r="E23" s="3">
        <v>0</v>
      </c>
      <c r="F23" s="3">
        <f t="shared" si="0"/>
        <v>1132183.5</v>
      </c>
      <c r="G23" s="3">
        <f t="shared" si="1"/>
        <v>-4394594</v>
      </c>
      <c r="H23" s="4">
        <f t="shared" si="4"/>
        <v>-9.6870900999999989</v>
      </c>
      <c r="I23" s="3">
        <f t="shared" si="2"/>
        <v>23885.975589041089</v>
      </c>
    </row>
    <row r="24" spans="1:9" x14ac:dyDescent="0.35">
      <c r="A24" s="2">
        <v>23</v>
      </c>
      <c r="B24" s="2">
        <f t="shared" si="3"/>
        <v>46313</v>
      </c>
      <c r="C24" s="3">
        <f>'02_Trading_Ledger'!K23+'02_Trading_Ledger'!K53</f>
        <v>5327203.9999999991</v>
      </c>
      <c r="D24" s="3">
        <f>'02_Trading_Ledger'!L39</f>
        <v>1228386</v>
      </c>
      <c r="E24" s="3">
        <v>0</v>
      </c>
      <c r="F24" s="3">
        <f t="shared" si="0"/>
        <v>1228386</v>
      </c>
      <c r="G24" s="3">
        <f t="shared" si="1"/>
        <v>-4098817.9999999991</v>
      </c>
      <c r="H24" s="4">
        <f t="shared" si="4"/>
        <v>-10.096971899999998</v>
      </c>
      <c r="I24" s="3">
        <f t="shared" si="2"/>
        <v>24896.643041095889</v>
      </c>
    </row>
    <row r="25" spans="1:9" x14ac:dyDescent="0.35">
      <c r="A25" s="2">
        <v>24</v>
      </c>
      <c r="B25" s="2">
        <f t="shared" si="3"/>
        <v>46314</v>
      </c>
      <c r="C25" s="3">
        <f>'02_Trading_Ledger'!K24+'02_Trading_Ledger'!K54</f>
        <v>4712910.5</v>
      </c>
      <c r="D25" s="3">
        <f>'02_Trading_Ledger'!L40</f>
        <v>1159443</v>
      </c>
      <c r="E25" s="3">
        <v>0</v>
      </c>
      <c r="F25" s="3">
        <f t="shared" si="0"/>
        <v>1159443</v>
      </c>
      <c r="G25" s="3">
        <f t="shared" si="1"/>
        <v>-3553467.5</v>
      </c>
      <c r="H25" s="4">
        <f t="shared" si="4"/>
        <v>-10.452318649999999</v>
      </c>
      <c r="I25" s="3">
        <f t="shared" si="2"/>
        <v>25772.840506849312</v>
      </c>
    </row>
    <row r="26" spans="1:9" x14ac:dyDescent="0.35">
      <c r="A26" s="2">
        <v>25</v>
      </c>
      <c r="B26" s="2">
        <f t="shared" si="3"/>
        <v>46315</v>
      </c>
      <c r="C26" s="3">
        <f>'02_Trading_Ledger'!K25+'02_Trading_Ledger'!K55</f>
        <v>4875543</v>
      </c>
      <c r="D26" s="3">
        <f>'02_Trading_Ledger'!L41</f>
        <v>1279383</v>
      </c>
      <c r="E26" s="3">
        <v>0</v>
      </c>
      <c r="F26" s="3">
        <f t="shared" si="0"/>
        <v>1279383</v>
      </c>
      <c r="G26" s="3">
        <f t="shared" si="1"/>
        <v>-3596160</v>
      </c>
      <c r="H26" s="4">
        <f t="shared" si="4"/>
        <v>-10.81193465</v>
      </c>
      <c r="I26" s="3">
        <f t="shared" si="2"/>
        <v>26659.564890410962</v>
      </c>
    </row>
    <row r="27" spans="1:9" x14ac:dyDescent="0.35">
      <c r="A27" s="2">
        <v>26</v>
      </c>
      <c r="B27" s="2">
        <f t="shared" si="3"/>
        <v>46316</v>
      </c>
      <c r="C27" s="3">
        <f>'02_Trading_Ledger'!K26+'02_Trading_Ledger'!K56</f>
        <v>3982405</v>
      </c>
      <c r="D27" s="3">
        <f>'02_Trading_Ledger'!L42</f>
        <v>1256142</v>
      </c>
      <c r="E27" s="3">
        <v>0</v>
      </c>
      <c r="F27" s="3">
        <f t="shared" si="0"/>
        <v>1256142</v>
      </c>
      <c r="G27" s="3">
        <f t="shared" si="1"/>
        <v>-2726263</v>
      </c>
      <c r="H27" s="4">
        <f t="shared" si="4"/>
        <v>-11.08456095</v>
      </c>
      <c r="I27" s="3">
        <f t="shared" si="2"/>
        <v>27331.794123287673</v>
      </c>
    </row>
    <row r="28" spans="1:9" x14ac:dyDescent="0.35">
      <c r="A28" s="2">
        <v>27</v>
      </c>
      <c r="B28" s="2">
        <f t="shared" si="3"/>
        <v>46317</v>
      </c>
      <c r="C28" s="3">
        <f>'02_Trading_Ledger'!K27+'02_Trading_Ledger'!K57</f>
        <v>3969420.0000000005</v>
      </c>
      <c r="D28" s="3">
        <f>'02_Trading_Ledger'!L43</f>
        <v>1258216.5</v>
      </c>
      <c r="E28" s="3">
        <v>0</v>
      </c>
      <c r="F28" s="3">
        <f t="shared" si="0"/>
        <v>1258216.5</v>
      </c>
      <c r="G28" s="3">
        <f t="shared" si="1"/>
        <v>-2711203.5000000005</v>
      </c>
      <c r="H28" s="4">
        <f t="shared" si="4"/>
        <v>-11.355681300000001</v>
      </c>
      <c r="I28" s="3">
        <f t="shared" si="2"/>
        <v>28000.310054794521</v>
      </c>
    </row>
    <row r="29" spans="1:9" x14ac:dyDescent="0.35">
      <c r="A29" s="2">
        <v>28</v>
      </c>
      <c r="B29" s="2">
        <f t="shared" si="3"/>
        <v>46318</v>
      </c>
      <c r="C29" s="3">
        <f>'02_Trading_Ledger'!K28+'02_Trading_Ledger'!K58</f>
        <v>4415543.5</v>
      </c>
      <c r="D29" s="3">
        <f>'02_Trading_Ledger'!L44</f>
        <v>1254585</v>
      </c>
      <c r="E29" s="3">
        <v>0</v>
      </c>
      <c r="F29" s="3">
        <f t="shared" si="0"/>
        <v>1254585</v>
      </c>
      <c r="G29" s="3">
        <f t="shared" si="1"/>
        <v>-3160958.5</v>
      </c>
      <c r="H29" s="4">
        <f t="shared" si="4"/>
        <v>-11.67177715</v>
      </c>
      <c r="I29" s="3">
        <f t="shared" si="2"/>
        <v>28779.724479452056</v>
      </c>
    </row>
    <row r="30" spans="1:9" x14ac:dyDescent="0.35">
      <c r="A30" s="2">
        <v>29</v>
      </c>
      <c r="B30" s="2">
        <f t="shared" si="3"/>
        <v>46319</v>
      </c>
      <c r="C30" s="3">
        <f>'02_Trading_Ledger'!K29+'02_Trading_Ledger'!K59</f>
        <v>4260793</v>
      </c>
      <c r="D30" s="3">
        <f>'02_Trading_Ledger'!L45</f>
        <v>1244322</v>
      </c>
      <c r="E30" s="3">
        <v>0</v>
      </c>
      <c r="F30" s="3">
        <f t="shared" si="0"/>
        <v>1244322</v>
      </c>
      <c r="G30" s="3">
        <f t="shared" si="1"/>
        <v>-3016471</v>
      </c>
      <c r="H30" s="4">
        <f t="shared" si="4"/>
        <v>-11.973424250000001</v>
      </c>
      <c r="I30" s="3">
        <f t="shared" si="2"/>
        <v>29523.511849315073</v>
      </c>
    </row>
    <row r="31" spans="1:9" x14ac:dyDescent="0.35">
      <c r="A31" s="2">
        <v>30</v>
      </c>
      <c r="B31" s="2">
        <f t="shared" si="3"/>
        <v>46320</v>
      </c>
      <c r="C31" s="3">
        <f>'02_Trading_Ledger'!K30+'02_Trading_Ledger'!K60</f>
        <v>3789779.5</v>
      </c>
      <c r="D31" s="3">
        <f>'02_Trading_Ledger'!L46</f>
        <v>1185841.5</v>
      </c>
      <c r="E31" s="3">
        <v>0</v>
      </c>
      <c r="F31" s="3">
        <f t="shared" si="0"/>
        <v>1185841.5</v>
      </c>
      <c r="G31" s="3">
        <f t="shared" si="1"/>
        <v>-2603938</v>
      </c>
      <c r="H31" s="4">
        <f t="shared" si="4"/>
        <v>-12.23381805</v>
      </c>
      <c r="I31" s="3">
        <f t="shared" si="2"/>
        <v>30165.578753424656</v>
      </c>
    </row>
    <row r="32" spans="1:9" x14ac:dyDescent="0.35">
      <c r="A32" s="2">
        <v>31</v>
      </c>
      <c r="B32" s="2">
        <f t="shared" si="3"/>
        <v>46321</v>
      </c>
      <c r="C32" s="3">
        <f>'02_Trading_Ledger'!K31+'02_Trading_Ledger'!K61</f>
        <v>2708485.5</v>
      </c>
      <c r="D32" s="3">
        <f>'02_Trading_Ledger'!L47</f>
        <v>968160</v>
      </c>
      <c r="E32" s="3">
        <v>0</v>
      </c>
      <c r="F32" s="3">
        <f t="shared" si="0"/>
        <v>968160</v>
      </c>
      <c r="G32" s="3">
        <f t="shared" si="1"/>
        <v>-1740325.5</v>
      </c>
      <c r="H32" s="4">
        <f t="shared" si="4"/>
        <v>-12.4078506</v>
      </c>
      <c r="I32" s="3">
        <f t="shared" si="2"/>
        <v>30594.700109589037</v>
      </c>
    </row>
    <row r="33" spans="1:9" x14ac:dyDescent="0.35">
      <c r="A33" s="2">
        <v>32</v>
      </c>
      <c r="B33" s="2">
        <f t="shared" si="3"/>
        <v>46322</v>
      </c>
      <c r="C33" s="3">
        <v>0</v>
      </c>
      <c r="D33" s="3">
        <f>'02_Trading_Ledger'!L48</f>
        <v>979203.00000000012</v>
      </c>
      <c r="E33" s="3">
        <v>0</v>
      </c>
      <c r="F33" s="3">
        <f t="shared" si="0"/>
        <v>979203.00000000012</v>
      </c>
      <c r="G33" s="3">
        <f t="shared" si="1"/>
        <v>979203.00000000012</v>
      </c>
      <c r="H33" s="4">
        <f t="shared" si="4"/>
        <v>-12.3099303</v>
      </c>
      <c r="I33" s="3">
        <f t="shared" si="2"/>
        <v>30353.252794520547</v>
      </c>
    </row>
    <row r="34" spans="1:9" x14ac:dyDescent="0.35">
      <c r="A34" s="2">
        <v>33</v>
      </c>
      <c r="B34" s="2">
        <f t="shared" si="3"/>
        <v>46323</v>
      </c>
      <c r="C34" s="3">
        <v>0</v>
      </c>
      <c r="D34" s="3">
        <f>'02_Trading_Ledger'!L49</f>
        <v>1196610</v>
      </c>
      <c r="E34" s="3">
        <v>0</v>
      </c>
      <c r="F34" s="3">
        <f t="shared" ref="F34:F65" si="5">D34+E34</f>
        <v>1196610</v>
      </c>
      <c r="G34" s="3">
        <f t="shared" ref="G34:G65" si="6">F34-C34</f>
        <v>1196610</v>
      </c>
      <c r="H34" s="4">
        <f t="shared" si="4"/>
        <v>-12.190269299999999</v>
      </c>
      <c r="I34" s="3">
        <f t="shared" ref="I34:I65" si="7">IF(H34&lt;0, (-H34*10000000)*0.09/365, 0)</f>
        <v>30058.198273972601</v>
      </c>
    </row>
    <row r="35" spans="1:9" x14ac:dyDescent="0.35">
      <c r="A35" s="2">
        <v>34</v>
      </c>
      <c r="B35" s="2">
        <f t="shared" ref="B35:B61" si="8">B34+1</f>
        <v>46324</v>
      </c>
      <c r="C35" s="3">
        <v>0</v>
      </c>
      <c r="D35" s="3">
        <f>'02_Trading_Ledger'!L50</f>
        <v>1345508.9999999998</v>
      </c>
      <c r="E35" s="3">
        <v>0</v>
      </c>
      <c r="F35" s="3">
        <f t="shared" si="5"/>
        <v>1345508.9999999998</v>
      </c>
      <c r="G35" s="3">
        <f t="shared" si="6"/>
        <v>1345508.9999999998</v>
      </c>
      <c r="H35" s="4">
        <f t="shared" ref="H35:H66" si="9">H34+(G35/10000000)</f>
        <v>-12.055718399999998</v>
      </c>
      <c r="I35" s="3">
        <f t="shared" si="7"/>
        <v>29726.428931506845</v>
      </c>
    </row>
    <row r="36" spans="1:9" x14ac:dyDescent="0.35">
      <c r="A36" s="2">
        <v>35</v>
      </c>
      <c r="B36" s="2">
        <f t="shared" si="8"/>
        <v>46325</v>
      </c>
      <c r="C36" s="3">
        <v>0</v>
      </c>
      <c r="D36" s="3">
        <f>'02_Trading_Ledger'!L51</f>
        <v>1267147.5</v>
      </c>
      <c r="E36" s="3">
        <v>0</v>
      </c>
      <c r="F36" s="3">
        <f t="shared" si="5"/>
        <v>1267147.5</v>
      </c>
      <c r="G36" s="3">
        <f t="shared" si="6"/>
        <v>1267147.5</v>
      </c>
      <c r="H36" s="4">
        <f t="shared" si="9"/>
        <v>-11.929003649999999</v>
      </c>
      <c r="I36" s="3">
        <f t="shared" si="7"/>
        <v>29413.981602739721</v>
      </c>
    </row>
    <row r="37" spans="1:9" x14ac:dyDescent="0.35">
      <c r="A37" s="2">
        <v>36</v>
      </c>
      <c r="B37" s="2">
        <f t="shared" si="8"/>
        <v>46326</v>
      </c>
      <c r="C37" s="3">
        <v>0</v>
      </c>
      <c r="D37" s="3">
        <f>'02_Trading_Ledger'!L52</f>
        <v>1221517.5</v>
      </c>
      <c r="E37" s="3">
        <v>0</v>
      </c>
      <c r="F37" s="3">
        <f t="shared" si="5"/>
        <v>1221517.5</v>
      </c>
      <c r="G37" s="3">
        <f t="shared" si="6"/>
        <v>1221517.5</v>
      </c>
      <c r="H37" s="4">
        <f t="shared" si="9"/>
        <v>-11.806851899999998</v>
      </c>
      <c r="I37" s="3">
        <f t="shared" si="7"/>
        <v>29112.785506849312</v>
      </c>
    </row>
    <row r="38" spans="1:9" x14ac:dyDescent="0.35">
      <c r="A38" s="2">
        <v>37</v>
      </c>
      <c r="B38" s="2">
        <f t="shared" si="8"/>
        <v>46327</v>
      </c>
      <c r="C38" s="3">
        <v>0</v>
      </c>
      <c r="D38" s="3">
        <f>'02_Trading_Ledger'!L53</f>
        <v>1090599</v>
      </c>
      <c r="E38" s="3">
        <v>0</v>
      </c>
      <c r="F38" s="3">
        <f t="shared" si="5"/>
        <v>1090599</v>
      </c>
      <c r="G38" s="3">
        <f t="shared" si="6"/>
        <v>1090599</v>
      </c>
      <c r="H38" s="4">
        <f t="shared" si="9"/>
        <v>-11.697791999999998</v>
      </c>
      <c r="I38" s="3">
        <f t="shared" si="7"/>
        <v>28843.870684931502</v>
      </c>
    </row>
    <row r="39" spans="1:9" x14ac:dyDescent="0.35">
      <c r="A39" s="2">
        <v>38</v>
      </c>
      <c r="B39" s="2">
        <f t="shared" si="8"/>
        <v>46328</v>
      </c>
      <c r="C39" s="3">
        <v>0</v>
      </c>
      <c r="D39" s="3">
        <f>'02_Trading_Ledger'!L54</f>
        <v>719710.5</v>
      </c>
      <c r="E39" s="3">
        <v>0</v>
      </c>
      <c r="F39" s="3">
        <f t="shared" si="5"/>
        <v>719710.5</v>
      </c>
      <c r="G39" s="3">
        <f t="shared" si="6"/>
        <v>719710.5</v>
      </c>
      <c r="H39" s="4">
        <f t="shared" si="9"/>
        <v>-11.625820949999998</v>
      </c>
      <c r="I39" s="3">
        <f t="shared" si="7"/>
        <v>28666.407821917805</v>
      </c>
    </row>
    <row r="40" spans="1:9" x14ac:dyDescent="0.35">
      <c r="A40" s="2">
        <v>39</v>
      </c>
      <c r="B40" s="2">
        <f t="shared" si="8"/>
        <v>46329</v>
      </c>
      <c r="C40" s="3">
        <v>0</v>
      </c>
      <c r="D40" s="3">
        <f>'02_Trading_Ledger'!L55</f>
        <v>738678.00000000012</v>
      </c>
      <c r="E40" s="3">
        <v>0</v>
      </c>
      <c r="F40" s="3">
        <f t="shared" si="5"/>
        <v>738678.00000000012</v>
      </c>
      <c r="G40" s="3">
        <f t="shared" si="6"/>
        <v>738678.00000000012</v>
      </c>
      <c r="H40" s="4">
        <f t="shared" si="9"/>
        <v>-11.551953149999997</v>
      </c>
      <c r="I40" s="3">
        <f t="shared" si="7"/>
        <v>28484.268041095882</v>
      </c>
    </row>
    <row r="41" spans="1:9" x14ac:dyDescent="0.35">
      <c r="A41" s="2">
        <v>40</v>
      </c>
      <c r="B41" s="2">
        <f t="shared" si="8"/>
        <v>46330</v>
      </c>
      <c r="C41" s="3">
        <v>0</v>
      </c>
      <c r="D41" s="3">
        <f>'02_Trading_Ledger'!L56</f>
        <v>507554.99999999994</v>
      </c>
      <c r="E41" s="3">
        <v>0</v>
      </c>
      <c r="F41" s="3">
        <f t="shared" si="5"/>
        <v>507554.99999999994</v>
      </c>
      <c r="G41" s="3">
        <f t="shared" si="6"/>
        <v>507554.99999999994</v>
      </c>
      <c r="H41" s="4">
        <f t="shared" si="9"/>
        <v>-11.501197649999998</v>
      </c>
      <c r="I41" s="3">
        <f t="shared" si="7"/>
        <v>28359.117493150679</v>
      </c>
    </row>
    <row r="42" spans="1:9" x14ac:dyDescent="0.35">
      <c r="A42" s="2">
        <v>41</v>
      </c>
      <c r="B42" s="2">
        <f t="shared" si="8"/>
        <v>46331</v>
      </c>
      <c r="C42" s="3">
        <v>0</v>
      </c>
      <c r="D42" s="3">
        <f>'02_Trading_Ledger'!L57</f>
        <v>694080</v>
      </c>
      <c r="E42" s="3">
        <v>0</v>
      </c>
      <c r="F42" s="3">
        <f t="shared" si="5"/>
        <v>694080</v>
      </c>
      <c r="G42" s="3">
        <f t="shared" si="6"/>
        <v>694080</v>
      </c>
      <c r="H42" s="4">
        <f t="shared" si="9"/>
        <v>-11.431789649999999</v>
      </c>
      <c r="I42" s="3">
        <f t="shared" si="7"/>
        <v>28187.974479452052</v>
      </c>
    </row>
    <row r="43" spans="1:9" x14ac:dyDescent="0.35">
      <c r="A43" s="2">
        <v>42</v>
      </c>
      <c r="B43" s="2">
        <f t="shared" si="8"/>
        <v>46332</v>
      </c>
      <c r="C43" s="3">
        <v>0</v>
      </c>
      <c r="D43" s="3">
        <f>'02_Trading_Ledger'!L58</f>
        <v>752203.5</v>
      </c>
      <c r="E43" s="3">
        <v>0</v>
      </c>
      <c r="F43" s="3">
        <f t="shared" si="5"/>
        <v>752203.5</v>
      </c>
      <c r="G43" s="3">
        <f t="shared" si="6"/>
        <v>752203.5</v>
      </c>
      <c r="H43" s="4">
        <f t="shared" si="9"/>
        <v>-11.356569299999999</v>
      </c>
      <c r="I43" s="3">
        <f t="shared" si="7"/>
        <v>28002.499643835614</v>
      </c>
    </row>
    <row r="44" spans="1:9" x14ac:dyDescent="0.35">
      <c r="A44" s="2">
        <v>43</v>
      </c>
      <c r="B44" s="2">
        <f t="shared" si="8"/>
        <v>46333</v>
      </c>
      <c r="C44" s="3">
        <v>0</v>
      </c>
      <c r="D44" s="3">
        <f>'02_Trading_Ledger'!L59</f>
        <v>674058</v>
      </c>
      <c r="E44" s="3">
        <v>0</v>
      </c>
      <c r="F44" s="3">
        <f t="shared" si="5"/>
        <v>674058</v>
      </c>
      <c r="G44" s="3">
        <f t="shared" si="6"/>
        <v>674058</v>
      </c>
      <c r="H44" s="4">
        <f t="shared" si="9"/>
        <v>-11.289163499999999</v>
      </c>
      <c r="I44" s="3">
        <f t="shared" si="7"/>
        <v>27836.29356164383</v>
      </c>
    </row>
    <row r="45" spans="1:9" x14ac:dyDescent="0.35">
      <c r="A45" s="2">
        <v>44</v>
      </c>
      <c r="B45" s="2">
        <f t="shared" si="8"/>
        <v>46334</v>
      </c>
      <c r="C45" s="3">
        <v>0</v>
      </c>
      <c r="D45" s="3">
        <f>'02_Trading_Ledger'!L60</f>
        <v>691129.50000000012</v>
      </c>
      <c r="E45" s="3">
        <v>0</v>
      </c>
      <c r="F45" s="3">
        <f t="shared" si="5"/>
        <v>691129.50000000012</v>
      </c>
      <c r="G45" s="3">
        <f t="shared" si="6"/>
        <v>691129.50000000012</v>
      </c>
      <c r="H45" s="4">
        <f t="shared" si="9"/>
        <v>-11.22005055</v>
      </c>
      <c r="I45" s="3">
        <f t="shared" si="7"/>
        <v>27665.878068493148</v>
      </c>
    </row>
    <row r="46" spans="1:9" x14ac:dyDescent="0.35">
      <c r="A46" s="2">
        <v>45</v>
      </c>
      <c r="B46" s="2">
        <f t="shared" si="8"/>
        <v>46335</v>
      </c>
      <c r="C46" s="3">
        <v>0</v>
      </c>
      <c r="D46" s="3">
        <f>'02_Trading_Ledger'!L61</f>
        <v>494155.49999999994</v>
      </c>
      <c r="E46" s="3">
        <v>0</v>
      </c>
      <c r="F46" s="3">
        <f t="shared" si="5"/>
        <v>494155.49999999994</v>
      </c>
      <c r="G46" s="3">
        <f t="shared" si="6"/>
        <v>494155.49999999994</v>
      </c>
      <c r="H46" s="4">
        <f t="shared" si="9"/>
        <v>-11.170634999999999</v>
      </c>
      <c r="I46" s="3">
        <f t="shared" si="7"/>
        <v>27544.031506849311</v>
      </c>
    </row>
    <row r="47" spans="1:9" x14ac:dyDescent="0.35">
      <c r="A47" s="2">
        <v>46</v>
      </c>
      <c r="B47" s="2">
        <f t="shared" si="8"/>
        <v>46336</v>
      </c>
      <c r="C47" s="3">
        <v>0</v>
      </c>
      <c r="D47" s="3">
        <v>0</v>
      </c>
      <c r="E47" s="3">
        <f>'02_Trading_Ledger'!L2</f>
        <v>2394690</v>
      </c>
      <c r="F47" s="3">
        <f t="shared" si="5"/>
        <v>2394690</v>
      </c>
      <c r="G47" s="3">
        <f t="shared" si="6"/>
        <v>2394690</v>
      </c>
      <c r="H47" s="4">
        <f t="shared" si="9"/>
        <v>-10.931165999999999</v>
      </c>
      <c r="I47" s="3">
        <f t="shared" si="7"/>
        <v>26953.56</v>
      </c>
    </row>
    <row r="48" spans="1:9" x14ac:dyDescent="0.35">
      <c r="A48" s="2">
        <v>47</v>
      </c>
      <c r="B48" s="2">
        <f t="shared" si="8"/>
        <v>46337</v>
      </c>
      <c r="C48" s="3">
        <v>0</v>
      </c>
      <c r="D48" s="3">
        <v>0</v>
      </c>
      <c r="E48" s="3">
        <f>'02_Trading_Ledger'!L3</f>
        <v>1622950</v>
      </c>
      <c r="F48" s="3">
        <f t="shared" si="5"/>
        <v>1622950</v>
      </c>
      <c r="G48" s="3">
        <f t="shared" si="6"/>
        <v>1622950</v>
      </c>
      <c r="H48" s="4">
        <f t="shared" si="9"/>
        <v>-10.768870999999999</v>
      </c>
      <c r="I48" s="3">
        <f t="shared" si="7"/>
        <v>26553.380547945202</v>
      </c>
    </row>
    <row r="49" spans="1:9" x14ac:dyDescent="0.35">
      <c r="A49" s="2">
        <v>48</v>
      </c>
      <c r="B49" s="2">
        <f t="shared" si="8"/>
        <v>46338</v>
      </c>
      <c r="C49" s="3">
        <v>0</v>
      </c>
      <c r="D49" s="3">
        <v>0</v>
      </c>
      <c r="E49" s="3">
        <f>'02_Trading_Ledger'!L4</f>
        <v>2967110.0000000005</v>
      </c>
      <c r="F49" s="3">
        <f t="shared" si="5"/>
        <v>2967110.0000000005</v>
      </c>
      <c r="G49" s="3">
        <f t="shared" si="6"/>
        <v>2967110.0000000005</v>
      </c>
      <c r="H49" s="4">
        <f t="shared" si="9"/>
        <v>-10.472159999999999</v>
      </c>
      <c r="I49" s="3">
        <f t="shared" si="7"/>
        <v>25821.76438356164</v>
      </c>
    </row>
    <row r="50" spans="1:9" x14ac:dyDescent="0.35">
      <c r="A50" s="2">
        <v>49</v>
      </c>
      <c r="B50" s="2">
        <f t="shared" si="8"/>
        <v>46339</v>
      </c>
      <c r="C50" s="3">
        <v>0</v>
      </c>
      <c r="D50" s="3">
        <v>0</v>
      </c>
      <c r="E50" s="3">
        <f>'02_Trading_Ledger'!L5</f>
        <v>3969280.0000000005</v>
      </c>
      <c r="F50" s="3">
        <f t="shared" si="5"/>
        <v>3969280.0000000005</v>
      </c>
      <c r="G50" s="3">
        <f t="shared" si="6"/>
        <v>3969280.0000000005</v>
      </c>
      <c r="H50" s="4">
        <f t="shared" si="9"/>
        <v>-10.075231999999998</v>
      </c>
      <c r="I50" s="3">
        <f t="shared" si="7"/>
        <v>24843.037808219175</v>
      </c>
    </row>
    <row r="51" spans="1:9" x14ac:dyDescent="0.35">
      <c r="A51" s="2">
        <v>50</v>
      </c>
      <c r="B51" s="2">
        <f t="shared" si="8"/>
        <v>46340</v>
      </c>
      <c r="C51" s="3">
        <v>0</v>
      </c>
      <c r="D51" s="3">
        <v>0</v>
      </c>
      <c r="E51" s="3">
        <f>'02_Trading_Ledger'!L6</f>
        <v>4071059.9999999991</v>
      </c>
      <c r="F51" s="3">
        <f t="shared" si="5"/>
        <v>4071059.9999999991</v>
      </c>
      <c r="G51" s="3">
        <f t="shared" si="6"/>
        <v>4071059.9999999991</v>
      </c>
      <c r="H51" s="4">
        <f t="shared" si="9"/>
        <v>-9.6681259999999973</v>
      </c>
      <c r="I51" s="3">
        <f t="shared" si="7"/>
        <v>23839.21479452054</v>
      </c>
    </row>
    <row r="52" spans="1:9" x14ac:dyDescent="0.35">
      <c r="A52" s="2">
        <v>51</v>
      </c>
      <c r="B52" s="2">
        <f t="shared" si="8"/>
        <v>46341</v>
      </c>
      <c r="C52" s="3">
        <v>0</v>
      </c>
      <c r="D52" s="3">
        <v>0</v>
      </c>
      <c r="E52" s="3">
        <f>'02_Trading_Ledger'!L7</f>
        <v>3958260</v>
      </c>
      <c r="F52" s="3">
        <f t="shared" si="5"/>
        <v>3958260</v>
      </c>
      <c r="G52" s="3">
        <f t="shared" si="6"/>
        <v>3958260</v>
      </c>
      <c r="H52" s="4">
        <f t="shared" si="9"/>
        <v>-9.2722999999999978</v>
      </c>
      <c r="I52" s="3">
        <f t="shared" si="7"/>
        <v>22863.205479452048</v>
      </c>
    </row>
    <row r="53" spans="1:9" x14ac:dyDescent="0.35">
      <c r="A53" s="2">
        <v>52</v>
      </c>
      <c r="B53" s="2">
        <f t="shared" si="8"/>
        <v>46342</v>
      </c>
      <c r="C53" s="3">
        <v>0</v>
      </c>
      <c r="D53" s="3">
        <v>0</v>
      </c>
      <c r="E53" s="3">
        <f>'02_Trading_Ledger'!L8</f>
        <v>3829895</v>
      </c>
      <c r="F53" s="3">
        <f t="shared" si="5"/>
        <v>3829895</v>
      </c>
      <c r="G53" s="3">
        <f t="shared" si="6"/>
        <v>3829895</v>
      </c>
      <c r="H53" s="4">
        <f t="shared" si="9"/>
        <v>-8.889310499999997</v>
      </c>
      <c r="I53" s="3">
        <f t="shared" si="7"/>
        <v>21918.847808219172</v>
      </c>
    </row>
    <row r="54" spans="1:9" x14ac:dyDescent="0.35">
      <c r="A54" s="2">
        <v>53</v>
      </c>
      <c r="B54" s="2">
        <f t="shared" si="8"/>
        <v>46343</v>
      </c>
      <c r="C54" s="3">
        <v>0</v>
      </c>
      <c r="D54" s="3">
        <v>0</v>
      </c>
      <c r="E54" s="3">
        <f>'02_Trading_Ledger'!L9</f>
        <v>3849600</v>
      </c>
      <c r="F54" s="3">
        <f t="shared" si="5"/>
        <v>3849600</v>
      </c>
      <c r="G54" s="3">
        <f t="shared" si="6"/>
        <v>3849600</v>
      </c>
      <c r="H54" s="4">
        <f t="shared" si="9"/>
        <v>-8.5043504999999975</v>
      </c>
      <c r="I54" s="3">
        <f t="shared" si="7"/>
        <v>20969.631369863007</v>
      </c>
    </row>
    <row r="55" spans="1:9" x14ac:dyDescent="0.35">
      <c r="A55" s="2">
        <v>54</v>
      </c>
      <c r="B55" s="2">
        <f t="shared" si="8"/>
        <v>46344</v>
      </c>
      <c r="C55" s="3">
        <v>0</v>
      </c>
      <c r="D55" s="3">
        <v>0</v>
      </c>
      <c r="E55" s="3">
        <f>'02_Trading_Ledger'!L10</f>
        <v>3777350</v>
      </c>
      <c r="F55" s="3">
        <f t="shared" si="5"/>
        <v>3777350</v>
      </c>
      <c r="G55" s="3">
        <f t="shared" si="6"/>
        <v>3777350</v>
      </c>
      <c r="H55" s="4">
        <f t="shared" si="9"/>
        <v>-8.126615499999998</v>
      </c>
      <c r="I55" s="3">
        <f t="shared" si="7"/>
        <v>20038.229999999996</v>
      </c>
    </row>
    <row r="56" spans="1:9" x14ac:dyDescent="0.35">
      <c r="A56" s="2">
        <v>55</v>
      </c>
      <c r="B56" s="2">
        <f t="shared" si="8"/>
        <v>46345</v>
      </c>
      <c r="C56" s="3">
        <v>0</v>
      </c>
      <c r="D56" s="3">
        <v>0</v>
      </c>
      <c r="E56" s="3">
        <f>'02_Trading_Ledger'!L11</f>
        <v>4044759.9999999991</v>
      </c>
      <c r="F56" s="3">
        <f t="shared" si="5"/>
        <v>4044759.9999999991</v>
      </c>
      <c r="G56" s="3">
        <f t="shared" si="6"/>
        <v>4044759.9999999991</v>
      </c>
      <c r="H56" s="4">
        <f t="shared" si="9"/>
        <v>-7.7221394999999982</v>
      </c>
      <c r="I56" s="3">
        <f t="shared" si="7"/>
        <v>19040.891917808214</v>
      </c>
    </row>
    <row r="57" spans="1:9" x14ac:dyDescent="0.35">
      <c r="A57" s="2">
        <v>56</v>
      </c>
      <c r="B57" s="2">
        <f t="shared" si="8"/>
        <v>46346</v>
      </c>
      <c r="C57" s="3">
        <v>0</v>
      </c>
      <c r="D57" s="3">
        <v>0</v>
      </c>
      <c r="E57" s="3">
        <f>'02_Trading_Ledger'!L12</f>
        <v>4127144.9999999995</v>
      </c>
      <c r="F57" s="3">
        <f t="shared" si="5"/>
        <v>4127144.9999999995</v>
      </c>
      <c r="G57" s="3">
        <f t="shared" si="6"/>
        <v>4127144.9999999995</v>
      </c>
      <c r="H57" s="4">
        <f t="shared" si="9"/>
        <v>-7.3094249999999983</v>
      </c>
      <c r="I57" s="3">
        <f t="shared" si="7"/>
        <v>18023.239726027394</v>
      </c>
    </row>
    <row r="58" spans="1:9" x14ac:dyDescent="0.35">
      <c r="A58" s="2">
        <v>57</v>
      </c>
      <c r="B58" s="2">
        <f t="shared" si="8"/>
        <v>46347</v>
      </c>
      <c r="C58" s="3">
        <v>0</v>
      </c>
      <c r="D58" s="3">
        <v>0</v>
      </c>
      <c r="E58" s="3">
        <f>'02_Trading_Ledger'!L13</f>
        <v>4241699.9999999991</v>
      </c>
      <c r="F58" s="3">
        <f t="shared" si="5"/>
        <v>4241699.9999999991</v>
      </c>
      <c r="G58" s="3">
        <f t="shared" si="6"/>
        <v>4241699.9999999991</v>
      </c>
      <c r="H58" s="4">
        <f t="shared" si="9"/>
        <v>-6.8852549999999981</v>
      </c>
      <c r="I58" s="3">
        <f t="shared" si="7"/>
        <v>16977.341095890406</v>
      </c>
    </row>
    <row r="59" spans="1:9" x14ac:dyDescent="0.35">
      <c r="A59" s="2">
        <v>58</v>
      </c>
      <c r="B59" s="2">
        <f t="shared" si="8"/>
        <v>46348</v>
      </c>
      <c r="C59" s="3">
        <v>0</v>
      </c>
      <c r="D59" s="3">
        <v>0</v>
      </c>
      <c r="E59" s="3">
        <f>'02_Trading_Ledger'!L14</f>
        <v>4261139.9999999991</v>
      </c>
      <c r="F59" s="3">
        <f t="shared" si="5"/>
        <v>4261139.9999999991</v>
      </c>
      <c r="G59" s="3">
        <f t="shared" si="6"/>
        <v>4261139.9999999991</v>
      </c>
      <c r="H59" s="4">
        <f t="shared" si="9"/>
        <v>-6.459140999999998</v>
      </c>
      <c r="I59" s="3">
        <f t="shared" si="7"/>
        <v>15926.649041095883</v>
      </c>
    </row>
    <row r="60" spans="1:9" x14ac:dyDescent="0.35">
      <c r="A60" s="2">
        <v>59</v>
      </c>
      <c r="B60" s="2">
        <f t="shared" si="8"/>
        <v>46349</v>
      </c>
      <c r="C60" s="3">
        <v>0</v>
      </c>
      <c r="D60" s="3">
        <v>0</v>
      </c>
      <c r="E60" s="3">
        <f>'02_Trading_Ledger'!L15</f>
        <v>4264634.9999999991</v>
      </c>
      <c r="F60" s="3">
        <f t="shared" si="5"/>
        <v>4264634.9999999991</v>
      </c>
      <c r="G60" s="3">
        <f t="shared" si="6"/>
        <v>4264634.9999999991</v>
      </c>
      <c r="H60" s="4">
        <f t="shared" si="9"/>
        <v>-6.0326774999999984</v>
      </c>
      <c r="I60" s="3">
        <f t="shared" si="7"/>
        <v>14875.095205479447</v>
      </c>
    </row>
    <row r="61" spans="1:9" x14ac:dyDescent="0.35">
      <c r="A61" s="2">
        <v>60</v>
      </c>
      <c r="B61" s="2">
        <f t="shared" si="8"/>
        <v>46350</v>
      </c>
      <c r="C61" s="3">
        <v>0</v>
      </c>
      <c r="D61" s="3">
        <v>0</v>
      </c>
      <c r="E61" s="3">
        <f>'02_Trading_Ledger'!L16</f>
        <v>4250270</v>
      </c>
      <c r="F61" s="3">
        <f t="shared" si="5"/>
        <v>4250270</v>
      </c>
      <c r="G61" s="3">
        <f t="shared" si="6"/>
        <v>4250270</v>
      </c>
      <c r="H61" s="4">
        <f t="shared" si="9"/>
        <v>-5.6076504999999983</v>
      </c>
      <c r="I61" s="3">
        <f t="shared" si="7"/>
        <v>13827.08342465753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05_Executive_Dashboard</vt:lpstr>
      <vt:lpstr>01_Daily_Market_Data</vt:lpstr>
      <vt:lpstr>02_Trading_Ledger</vt:lpstr>
      <vt:lpstr>03_Financial_MIS</vt:lpstr>
      <vt:lpstr>04_Working_Capital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Shanu singh</cp:lastModifiedBy>
  <dcterms:created xsi:type="dcterms:W3CDTF">2026-10-27T17:13:47Z</dcterms:created>
  <dcterms:modified xsi:type="dcterms:W3CDTF">2026-10-27T17:22:54Z</dcterms:modified>
</cp:coreProperties>
</file>